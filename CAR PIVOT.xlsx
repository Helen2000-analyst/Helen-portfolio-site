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cuments\"/>
    </mc:Choice>
  </mc:AlternateContent>
  <bookViews>
    <workbookView xWindow="-120" yWindow="-120" windowWidth="20730" windowHeight="11760" tabRatio="686" firstSheet="9" activeTab="16"/>
  </bookViews>
  <sheets>
    <sheet name="question 8" sheetId="18" r:id="rId1"/>
    <sheet name="Make vs Price" sheetId="4" r:id="rId2"/>
    <sheet name="question 7" sheetId="19" r:id="rId3"/>
    <sheet name="question 6" sheetId="20" r:id="rId4"/>
    <sheet name="question 9" sheetId="21" r:id="rId5"/>
    <sheet name="question 10" sheetId="23" r:id="rId6"/>
    <sheet name="question 11" sheetId="24" r:id="rId7"/>
    <sheet name="question 13" sheetId="27" r:id="rId8"/>
    <sheet name="colour vs price" sheetId="30" r:id="rId9"/>
    <sheet name="question 15" sheetId="29" r:id="rId10"/>
    <sheet name="dashboard" sheetId="35" r:id="rId11"/>
    <sheet name="question 14" sheetId="28" r:id="rId12"/>
    <sheet name="make vs mileage" sheetId="31" r:id="rId13"/>
    <sheet name="question4" sheetId="33" r:id="rId14"/>
    <sheet name="question 12" sheetId="34" r:id="rId15"/>
    <sheet name="model vs cost" sheetId="37" r:id="rId16"/>
    <sheet name="Sheet1" sheetId="1" r:id="rId17"/>
    <sheet name="Colour vs Mileage" sheetId="11" r:id="rId18"/>
    <sheet name="question 5" sheetId="13" r:id="rId19"/>
  </sheets>
  <definedNames>
    <definedName name="Slicer_Color">#N/A</definedName>
    <definedName name="Slicer_Make">#N/A</definedName>
    <definedName name="Slicer_Model">#N/A</definedName>
  </definedNames>
  <calcPr calcId="162913"/>
  <pivotCaches>
    <pivotCache cacheId="5"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37" l="1"/>
  <c r="H15" i="19"/>
  <c r="D26" i="19"/>
  <c r="D22" i="19"/>
  <c r="D19" i="19"/>
  <c r="D14" i="19"/>
  <c r="D10" i="19"/>
  <c r="D7" i="19"/>
  <c r="K8" i="37"/>
  <c r="M8" i="37"/>
  <c r="O8" i="37"/>
  <c r="C10" i="33" l="1"/>
  <c r="C14" i="33"/>
  <c r="C19" i="33"/>
  <c r="C22" i="33"/>
  <c r="C26" i="33"/>
  <c r="C7" i="33"/>
  <c r="D24" i="24" l="1"/>
  <c r="C24" i="24"/>
  <c r="D21" i="24"/>
  <c r="C21" i="24"/>
  <c r="D18" i="24"/>
  <c r="C18" i="24"/>
  <c r="D14" i="24"/>
  <c r="C14" i="24"/>
  <c r="D5" i="24"/>
  <c r="C5" i="24"/>
  <c r="B55" i="13"/>
  <c r="B52" i="13"/>
  <c r="B49" i="13"/>
  <c r="B46" i="13"/>
  <c r="B43" i="13"/>
  <c r="B39" i="13"/>
  <c r="B36" i="13"/>
  <c r="B33" i="13"/>
  <c r="B29" i="13"/>
  <c r="B26" i="13"/>
  <c r="B21" i="13"/>
  <c r="B18" i="13"/>
  <c r="B14" i="13"/>
  <c r="B11" i="13"/>
  <c r="B8" i="13"/>
  <c r="B26" i="23"/>
  <c r="B23" i="23"/>
  <c r="B17" i="23"/>
  <c r="B13" i="23"/>
  <c r="B10" i="23"/>
  <c r="B7" i="23"/>
  <c r="C32" i="21"/>
  <c r="C25" i="21"/>
  <c r="C20" i="21"/>
  <c r="C14" i="21"/>
  <c r="C7" i="21"/>
  <c r="C9" i="24"/>
  <c r="C10" i="21"/>
  <c r="D9" i="24"/>
</calcChain>
</file>

<file path=xl/sharedStrings.xml><?xml version="1.0" encoding="utf-8"?>
<sst xmlns="http://schemas.openxmlformats.org/spreadsheetml/2006/main" count="431" uniqueCount="47">
  <si>
    <t>Mileage</t>
  </si>
  <si>
    <t>Price</t>
  </si>
  <si>
    <t>Cost</t>
  </si>
  <si>
    <t>Make</t>
  </si>
  <si>
    <t>Model</t>
  </si>
  <si>
    <t>Color</t>
  </si>
  <si>
    <t>Honda</t>
  </si>
  <si>
    <t>Accord</t>
  </si>
  <si>
    <t>Red</t>
  </si>
  <si>
    <t>Blue</t>
  </si>
  <si>
    <t>Silver</t>
  </si>
  <si>
    <t>Toyota</t>
  </si>
  <si>
    <t>Camry</t>
  </si>
  <si>
    <t>Black</t>
  </si>
  <si>
    <t>Nissan</t>
  </si>
  <si>
    <t>Altima</t>
  </si>
  <si>
    <t>Green</t>
  </si>
  <si>
    <t>Corolla</t>
  </si>
  <si>
    <t>Civic</t>
  </si>
  <si>
    <t>White</t>
  </si>
  <si>
    <t>Ford</t>
  </si>
  <si>
    <t>F-150</t>
  </si>
  <si>
    <t>Chevrolet</t>
  </si>
  <si>
    <t>Silverado</t>
  </si>
  <si>
    <t>Impala</t>
  </si>
  <si>
    <t>Malibu</t>
  </si>
  <si>
    <t>Escape</t>
  </si>
  <si>
    <t>Mustang</t>
  </si>
  <si>
    <t>CRV</t>
  </si>
  <si>
    <t>Maxima</t>
  </si>
  <si>
    <t>Fusion</t>
  </si>
  <si>
    <t>Dodge</t>
  </si>
  <si>
    <t>Charger</t>
  </si>
  <si>
    <t>Row Labels</t>
  </si>
  <si>
    <t>Grand Total</t>
  </si>
  <si>
    <t>Sum of Price</t>
  </si>
  <si>
    <t>(All)</t>
  </si>
  <si>
    <t>(Multiple Items)</t>
  </si>
  <si>
    <t>Sum of Cost</t>
  </si>
  <si>
    <t>Sum of Mileage</t>
  </si>
  <si>
    <t>Average</t>
  </si>
  <si>
    <t>Count</t>
  </si>
  <si>
    <t>Maximum</t>
  </si>
  <si>
    <t>Colour</t>
  </si>
  <si>
    <r>
      <rPr>
        <b/>
        <sz val="11"/>
        <color theme="1"/>
        <rFont val="Calibri"/>
        <family val="2"/>
        <scheme val="minor"/>
      </rPr>
      <t>Coun</t>
    </r>
    <r>
      <rPr>
        <sz val="11"/>
        <color theme="1"/>
        <rFont val="Calibri"/>
        <family val="2"/>
        <scheme val="minor"/>
      </rPr>
      <t>t</t>
    </r>
  </si>
  <si>
    <t>Minimum</t>
  </si>
  <si>
    <t>Sum of Price2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</si>
</sst>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43" formatCode="_(* #,##0.00_);_(* \(#,##0.00\);_(* &quot;-&quot;??_);_(@_)"/>
    <numFmt numFmtId="164" formatCode="_(* #,##0_);_(* \(#,##0\);_(* &quot;-&quot;??_);_(@_)"/>
    <numFmt numFmtId="165" formatCode="&quot;$&quot;#,##0"/>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5" fillId="0" borderId="0" applyFont="0" applyFill="0" applyBorder="0" applyAlignment="0" applyProtection="0"/>
  </cellStyleXfs>
  <cellXfs count="19">
    <xf numFmtId="0" fontId="0" fillId="0" borderId="0" xfId="0"/>
    <xf numFmtId="0" fontId="1" fillId="0" borderId="0" xfId="0" applyFont="1"/>
    <xf numFmtId="0" fontId="2" fillId="0" borderId="0" xfId="0" applyFont="1"/>
    <xf numFmtId="3" fontId="2" fillId="0" borderId="0" xfId="0" applyNumberFormat="1" applyFont="1"/>
    <xf numFmtId="6" fontId="2" fillId="0" borderId="0" xfId="0" applyNumberFormat="1" applyFont="1"/>
    <xf numFmtId="0" fontId="0" fillId="0" borderId="0" xfId="0" applyBorder="1"/>
    <xf numFmtId="0" fontId="2" fillId="0" borderId="0" xfId="0" applyFont="1" applyBorder="1"/>
    <xf numFmtId="0" fontId="1" fillId="0" borderId="0" xfId="0" applyFont="1" applyBorder="1"/>
    <xf numFmtId="0" fontId="3" fillId="0" borderId="0" xfId="0"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164" fontId="0" fillId="0" borderId="0" xfId="1" applyNumberFormat="1" applyFont="1"/>
    <xf numFmtId="0" fontId="3" fillId="0" borderId="0" xfId="0" applyFont="1"/>
    <xf numFmtId="0" fontId="0" fillId="0" borderId="0" xfId="0" applyAlignment="1">
      <alignment horizontal="left" indent="2"/>
    </xf>
    <xf numFmtId="10" fontId="0" fillId="0" borderId="0" xfId="0" applyNumberFormat="1"/>
    <xf numFmtId="165" fontId="0" fillId="0" borderId="0" xfId="0" applyNumberFormat="1"/>
  </cellXfs>
  <cellStyles count="2">
    <cellStyle name="Comma" xfId="1" builtinId="3"/>
    <cellStyle name="Normal" xfId="0" builtinId="0"/>
  </cellStyles>
  <dxfs count="18">
    <dxf>
      <font>
        <b val="0"/>
        <i val="0"/>
        <strike val="0"/>
        <condense val="0"/>
        <extend val="0"/>
        <outline val="0"/>
        <shadow val="0"/>
        <u val="none"/>
        <vertAlign val="baseline"/>
        <sz val="11"/>
        <color rgb="FF000000"/>
        <name val="Calibri"/>
        <scheme val="minor"/>
      </font>
      <numFmt numFmtId="10" formatCode="&quot;$&quot;#,##0_);[Red]\(&quot;$&quot;#,##0\)"/>
    </dxf>
    <dxf>
      <font>
        <b val="0"/>
        <i val="0"/>
        <strike val="0"/>
        <condense val="0"/>
        <extend val="0"/>
        <outline val="0"/>
        <shadow val="0"/>
        <u val="none"/>
        <vertAlign val="baseline"/>
        <sz val="11"/>
        <color rgb="FF000000"/>
        <name val="Calibri"/>
        <scheme val="minor"/>
      </font>
      <numFmt numFmtId="10" formatCode="&quot;$&quot;#,##0_);[Red]\(&quot;$&quot;#,##0\)"/>
    </dxf>
    <dxf>
      <font>
        <b val="0"/>
        <i val="0"/>
        <strike val="0"/>
        <condense val="0"/>
        <extend val="0"/>
        <outline val="0"/>
        <shadow val="0"/>
        <u val="none"/>
        <vertAlign val="baseline"/>
        <sz val="11"/>
        <color rgb="FF000000"/>
        <name val="Calibri"/>
        <scheme val="minor"/>
      </font>
      <numFmt numFmtId="3" formatCode="#,##0"/>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dxf>
    <dxf>
      <numFmt numFmtId="164" formatCode="_(* #,##0_);_(* \(#,##0\);_(* &quot;-&quot;??_);_(@_)"/>
    </dxf>
    <dxf>
      <numFmt numFmtId="164" formatCode="_(* #,##0_);_(* \(#,##0\);_(* &quot;-&quot;??_);_(@_)"/>
    </dxf>
    <dxf>
      <numFmt numFmtId="166" formatCode="_(* #,##0.0_);_(* \(#,##0.0\);_(* &quot;-&quot;??_);_(@_)"/>
    </dxf>
    <dxf>
      <numFmt numFmtId="166" formatCode="_(* #,##0.0_);_(* \(#,##0.0\);_(* &quot;-&quot;??_);_(@_)"/>
    </dxf>
    <dxf>
      <numFmt numFmtId="35" formatCode="_(* #,##0.00_);_(* \(#,##0.00\);_(* &quot;-&quot;??_);_(@_)"/>
    </dxf>
    <dxf>
      <numFmt numFmtId="35" formatCode="_(* #,##0.00_);_(* \(#,##0.00\);_(* &quot;-&quot;??_);_(@_)"/>
    </dxf>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s>
  <tableStyles count="0" defaultTableStyle="TableStyleMedium2" defaultPivotStyle="PivotStyleLight16"/>
  <colors>
    <mruColors>
      <color rgb="FF3A3A3A"/>
      <color rgb="FF648ACE"/>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PIVOT.xlsx]Make vs Price!PivotTable5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'Make vs Price'!$B$3</c:f>
              <c:strCache>
                <c:ptCount val="1"/>
                <c:pt idx="0">
                  <c:v>Total</c:v>
                </c:pt>
              </c:strCache>
            </c:strRef>
          </c:tx>
          <c:spPr>
            <a:solidFill>
              <a:schemeClr val="accent1"/>
            </a:solidFill>
            <a:ln>
              <a:noFill/>
            </a:ln>
            <a:effectLst/>
          </c:spPr>
          <c:invertIfNegative val="0"/>
          <c:dLbls>
            <c:delete val="1"/>
          </c:dLbls>
          <c:cat>
            <c:strRef>
              <c:f>'Make vs Price'!$A$4:$A$10</c:f>
              <c:strCache>
                <c:ptCount val="6"/>
                <c:pt idx="0">
                  <c:v>Ford</c:v>
                </c:pt>
                <c:pt idx="1">
                  <c:v>Honda</c:v>
                </c:pt>
                <c:pt idx="2">
                  <c:v>Chevrolet</c:v>
                </c:pt>
                <c:pt idx="3">
                  <c:v>Dodge</c:v>
                </c:pt>
                <c:pt idx="4">
                  <c:v>Nissan</c:v>
                </c:pt>
                <c:pt idx="5">
                  <c:v>Toyota</c:v>
                </c:pt>
              </c:strCache>
            </c:strRef>
          </c:cat>
          <c:val>
            <c:numRef>
              <c:f>'Make vs Price'!$B$4:$B$10</c:f>
              <c:numCache>
                <c:formatCode>_(* #,##0_);_(* \(#,##0\);_(* "-"??_);_(@_)</c:formatCode>
                <c:ptCount val="6"/>
                <c:pt idx="0">
                  <c:v>17908</c:v>
                </c:pt>
                <c:pt idx="1">
                  <c:v>15968</c:v>
                </c:pt>
                <c:pt idx="2">
                  <c:v>14451</c:v>
                </c:pt>
                <c:pt idx="3">
                  <c:v>10691</c:v>
                </c:pt>
                <c:pt idx="4">
                  <c:v>9710</c:v>
                </c:pt>
                <c:pt idx="5">
                  <c:v>9380</c:v>
                </c:pt>
              </c:numCache>
            </c:numRef>
          </c:val>
          <c:extLst>
            <c:ext xmlns:c16="http://schemas.microsoft.com/office/drawing/2014/chart" uri="{C3380CC4-5D6E-409C-BE32-E72D297353CC}">
              <c16:uniqueId val="{00000000-273B-4339-8924-FF01BCEAAE36}"/>
            </c:ext>
          </c:extLst>
        </c:ser>
        <c:dLbls>
          <c:dLblPos val="ctr"/>
          <c:showLegendKey val="0"/>
          <c:showVal val="1"/>
          <c:showCatName val="0"/>
          <c:showSerName val="0"/>
          <c:showPercent val="0"/>
          <c:showBubbleSize val="0"/>
        </c:dLbls>
        <c:gapWidth val="150"/>
        <c:overlap val="100"/>
        <c:axId val="1364910895"/>
        <c:axId val="1364911311"/>
      </c:barChart>
      <c:catAx>
        <c:axId val="1364910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11311"/>
        <c:crosses val="autoZero"/>
        <c:auto val="1"/>
        <c:lblAlgn val="ctr"/>
        <c:lblOffset val="100"/>
        <c:noMultiLvlLbl val="0"/>
      </c:catAx>
      <c:valAx>
        <c:axId val="1364911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108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PIVOT.xlsx]colour vs price!PivotTable1</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'colour vs price'!$B$3</c:f>
              <c:strCache>
                <c:ptCount val="1"/>
                <c:pt idx="0">
                  <c:v>Total</c:v>
                </c:pt>
              </c:strCache>
            </c:strRef>
          </c:tx>
          <c:spPr>
            <a:solidFill>
              <a:schemeClr val="accent1"/>
            </a:solidFill>
            <a:ln>
              <a:noFill/>
            </a:ln>
            <a:effectLst/>
          </c:spPr>
          <c:cat>
            <c:strRef>
              <c:f>'colour vs price'!$A$4:$A$10</c:f>
              <c:strCache>
                <c:ptCount val="6"/>
                <c:pt idx="0">
                  <c:v>Black</c:v>
                </c:pt>
                <c:pt idx="1">
                  <c:v>Blue</c:v>
                </c:pt>
                <c:pt idx="2">
                  <c:v>Green</c:v>
                </c:pt>
                <c:pt idx="3">
                  <c:v>Red</c:v>
                </c:pt>
                <c:pt idx="4">
                  <c:v>Silver</c:v>
                </c:pt>
                <c:pt idx="5">
                  <c:v>White</c:v>
                </c:pt>
              </c:strCache>
            </c:strRef>
          </c:cat>
          <c:val>
            <c:numRef>
              <c:f>'colour vs price'!$B$4:$B$10</c:f>
              <c:numCache>
                <c:formatCode>General</c:formatCode>
                <c:ptCount val="6"/>
                <c:pt idx="0">
                  <c:v>16317</c:v>
                </c:pt>
                <c:pt idx="1">
                  <c:v>10043</c:v>
                </c:pt>
                <c:pt idx="2">
                  <c:v>11755</c:v>
                </c:pt>
                <c:pt idx="3">
                  <c:v>11311</c:v>
                </c:pt>
                <c:pt idx="4">
                  <c:v>20258</c:v>
                </c:pt>
                <c:pt idx="5">
                  <c:v>8424</c:v>
                </c:pt>
              </c:numCache>
            </c:numRef>
          </c:val>
          <c:extLst>
            <c:ext xmlns:c16="http://schemas.microsoft.com/office/drawing/2014/chart" uri="{C3380CC4-5D6E-409C-BE32-E72D297353CC}">
              <c16:uniqueId val="{00000000-5E7E-49B6-8C9A-926F78B8D746}"/>
            </c:ext>
          </c:extLst>
        </c:ser>
        <c:dLbls>
          <c:showLegendKey val="0"/>
          <c:showVal val="0"/>
          <c:showCatName val="0"/>
          <c:showSerName val="0"/>
          <c:showPercent val="0"/>
          <c:showBubbleSize val="0"/>
        </c:dLbls>
        <c:axId val="533809439"/>
        <c:axId val="533801951"/>
      </c:areaChart>
      <c:catAx>
        <c:axId val="53380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01951"/>
        <c:crosses val="autoZero"/>
        <c:auto val="1"/>
        <c:lblAlgn val="ctr"/>
        <c:lblOffset val="100"/>
        <c:noMultiLvlLbl val="0"/>
      </c:catAx>
      <c:valAx>
        <c:axId val="5338019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0943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PIVOT.xlsx]Make vs Price!PivotTable5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pivotFmt>
      <c:pivotFmt>
        <c:idx val="7"/>
        <c:spPr>
          <a:solidFill>
            <a:schemeClr val="accent6">
              <a:lumMod val="40000"/>
              <a:lumOff val="60000"/>
            </a:schemeClr>
          </a:solidFill>
          <a:ln>
            <a:noFill/>
          </a:ln>
          <a:effectLst/>
        </c:spPr>
        <c:marker>
          <c:symbol val="none"/>
        </c:marker>
      </c:pivotFmt>
      <c:pivotFmt>
        <c:idx val="8"/>
        <c:spPr>
          <a:solidFill>
            <a:schemeClr val="accent6">
              <a:lumMod val="60000"/>
              <a:lumOff val="40000"/>
            </a:schemeClr>
          </a:solidFill>
          <a:ln>
            <a:noFill/>
          </a:ln>
          <a:effectLst/>
        </c:spPr>
        <c:marker>
          <c:symbol val="none"/>
        </c:marker>
      </c:pivotFmt>
    </c:pivotFmts>
    <c:plotArea>
      <c:layout/>
      <c:barChart>
        <c:barDir val="col"/>
        <c:grouping val="stacked"/>
        <c:varyColors val="0"/>
        <c:ser>
          <c:idx val="0"/>
          <c:order val="0"/>
          <c:tx>
            <c:strRef>
              <c:f>'Make vs Price'!$B$3</c:f>
              <c:strCache>
                <c:ptCount val="1"/>
                <c:pt idx="0">
                  <c:v>Total</c:v>
                </c:pt>
              </c:strCache>
            </c:strRef>
          </c:tx>
          <c:spPr>
            <a:solidFill>
              <a:schemeClr val="accent6">
                <a:lumMod val="60000"/>
                <a:lumOff val="40000"/>
              </a:schemeClr>
            </a:solidFill>
            <a:ln>
              <a:noFill/>
            </a:ln>
            <a:effectLst/>
          </c:spPr>
          <c:invertIfNegative val="0"/>
          <c:dLbls>
            <c:delete val="1"/>
          </c:dLbls>
          <c:cat>
            <c:strRef>
              <c:f>'Make vs Price'!$A$4:$A$10</c:f>
              <c:strCache>
                <c:ptCount val="6"/>
                <c:pt idx="0">
                  <c:v>Ford</c:v>
                </c:pt>
                <c:pt idx="1">
                  <c:v>Honda</c:v>
                </c:pt>
                <c:pt idx="2">
                  <c:v>Chevrolet</c:v>
                </c:pt>
                <c:pt idx="3">
                  <c:v>Dodge</c:v>
                </c:pt>
                <c:pt idx="4">
                  <c:v>Nissan</c:v>
                </c:pt>
                <c:pt idx="5">
                  <c:v>Toyota</c:v>
                </c:pt>
              </c:strCache>
            </c:strRef>
          </c:cat>
          <c:val>
            <c:numRef>
              <c:f>'Make vs Price'!$B$4:$B$10</c:f>
              <c:numCache>
                <c:formatCode>_(* #,##0_);_(* \(#,##0\);_(* "-"??_);_(@_)</c:formatCode>
                <c:ptCount val="6"/>
                <c:pt idx="0">
                  <c:v>17908</c:v>
                </c:pt>
                <c:pt idx="1">
                  <c:v>15968</c:v>
                </c:pt>
                <c:pt idx="2">
                  <c:v>14451</c:v>
                </c:pt>
                <c:pt idx="3">
                  <c:v>10691</c:v>
                </c:pt>
                <c:pt idx="4">
                  <c:v>9710</c:v>
                </c:pt>
                <c:pt idx="5">
                  <c:v>9380</c:v>
                </c:pt>
              </c:numCache>
            </c:numRef>
          </c:val>
          <c:extLst>
            <c:ext xmlns:c16="http://schemas.microsoft.com/office/drawing/2014/chart" uri="{C3380CC4-5D6E-409C-BE32-E72D297353CC}">
              <c16:uniqueId val="{00000000-2B78-46F5-A4FB-2AE67BACEED2}"/>
            </c:ext>
          </c:extLst>
        </c:ser>
        <c:dLbls>
          <c:dLblPos val="ctr"/>
          <c:showLegendKey val="0"/>
          <c:showVal val="1"/>
          <c:showCatName val="0"/>
          <c:showSerName val="0"/>
          <c:showPercent val="0"/>
          <c:showBubbleSize val="0"/>
        </c:dLbls>
        <c:gapWidth val="150"/>
        <c:overlap val="100"/>
        <c:axId val="1364910895"/>
        <c:axId val="1364911311"/>
      </c:barChart>
      <c:catAx>
        <c:axId val="1364910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364911311"/>
        <c:crosses val="autoZero"/>
        <c:auto val="1"/>
        <c:lblAlgn val="ctr"/>
        <c:lblOffset val="100"/>
        <c:noMultiLvlLbl val="0"/>
      </c:catAx>
      <c:valAx>
        <c:axId val="1364911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3649108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PIVOT.xlsx]make vs mileage!PivotTable2</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pivotFmt>
    </c:pivotFmts>
    <c:plotArea>
      <c:layout>
        <c:manualLayout>
          <c:layoutTarget val="inner"/>
          <c:xMode val="edge"/>
          <c:yMode val="edge"/>
          <c:x val="0.19555722388093136"/>
          <c:y val="2.8000024968385617E-2"/>
          <c:w val="0.66290196073107499"/>
          <c:h val="0.92956880152084864"/>
        </c:manualLayout>
      </c:layout>
      <c:barChart>
        <c:barDir val="bar"/>
        <c:grouping val="stacked"/>
        <c:varyColors val="0"/>
        <c:ser>
          <c:idx val="0"/>
          <c:order val="0"/>
          <c:tx>
            <c:strRef>
              <c:f>'make vs mileage'!$B$3</c:f>
              <c:strCache>
                <c:ptCount val="1"/>
                <c:pt idx="0">
                  <c:v>Total</c:v>
                </c:pt>
              </c:strCache>
            </c:strRef>
          </c:tx>
          <c:spPr>
            <a:solidFill>
              <a:schemeClr val="accent6">
                <a:lumMod val="60000"/>
                <a:lumOff val="40000"/>
              </a:schemeClr>
            </a:solidFill>
            <a:ln>
              <a:noFill/>
            </a:ln>
            <a:effectLst/>
          </c:spPr>
          <c:invertIfNegative val="0"/>
          <c:cat>
            <c:strRef>
              <c:f>'make vs mileage'!$A$4:$A$10</c:f>
              <c:strCache>
                <c:ptCount val="6"/>
                <c:pt idx="0">
                  <c:v>Chevrolet</c:v>
                </c:pt>
                <c:pt idx="1">
                  <c:v>Honda</c:v>
                </c:pt>
                <c:pt idx="2">
                  <c:v>Toyota</c:v>
                </c:pt>
                <c:pt idx="3">
                  <c:v>Ford</c:v>
                </c:pt>
                <c:pt idx="4">
                  <c:v>Dodge</c:v>
                </c:pt>
                <c:pt idx="5">
                  <c:v>Nissan</c:v>
                </c:pt>
              </c:strCache>
            </c:strRef>
          </c:cat>
          <c:val>
            <c:numRef>
              <c:f>'make vs mileage'!$B$4:$B$10</c:f>
              <c:numCache>
                <c:formatCode>_(* #,##0_);_(* \(#,##0\);_(* "-"??_);_(@_)</c:formatCode>
                <c:ptCount val="6"/>
                <c:pt idx="0">
                  <c:v>477017</c:v>
                </c:pt>
                <c:pt idx="1">
                  <c:v>448116</c:v>
                </c:pt>
                <c:pt idx="2">
                  <c:v>352137</c:v>
                </c:pt>
                <c:pt idx="3">
                  <c:v>277260</c:v>
                </c:pt>
                <c:pt idx="4">
                  <c:v>229801</c:v>
                </c:pt>
                <c:pt idx="5">
                  <c:v>226936</c:v>
                </c:pt>
              </c:numCache>
            </c:numRef>
          </c:val>
          <c:extLst>
            <c:ext xmlns:c16="http://schemas.microsoft.com/office/drawing/2014/chart" uri="{C3380CC4-5D6E-409C-BE32-E72D297353CC}">
              <c16:uniqueId val="{00000000-3DB4-4A31-8AA1-0924FA0E0214}"/>
            </c:ext>
          </c:extLst>
        </c:ser>
        <c:dLbls>
          <c:showLegendKey val="0"/>
          <c:showVal val="0"/>
          <c:showCatName val="0"/>
          <c:showSerName val="0"/>
          <c:showPercent val="0"/>
          <c:showBubbleSize val="0"/>
        </c:dLbls>
        <c:gapWidth val="150"/>
        <c:overlap val="100"/>
        <c:axId val="533800287"/>
        <c:axId val="533811935"/>
      </c:barChart>
      <c:catAx>
        <c:axId val="53380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533811935"/>
        <c:crosses val="autoZero"/>
        <c:auto val="1"/>
        <c:lblAlgn val="ctr"/>
        <c:lblOffset val="100"/>
        <c:noMultiLvlLbl val="0"/>
      </c:catAx>
      <c:valAx>
        <c:axId val="533811935"/>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5338002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PIVOT.xlsx]colour vs price!PivotTable1</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pivotFmt>
      <c:pivotFmt>
        <c:idx val="3"/>
        <c:spPr>
          <a:solidFill>
            <a:schemeClr val="accent6">
              <a:lumMod val="60000"/>
              <a:lumOff val="40000"/>
            </a:schemeClr>
          </a:solidFill>
          <a:ln>
            <a:noFill/>
          </a:ln>
          <a:effectLst/>
        </c:spPr>
        <c:marker>
          <c:symbol val="none"/>
        </c:marker>
      </c:pivotFmt>
      <c:pivotFmt>
        <c:idx val="4"/>
        <c:spPr>
          <a:solidFill>
            <a:schemeClr val="accent6">
              <a:lumMod val="60000"/>
              <a:lumOff val="40000"/>
            </a:schemeClr>
          </a:solidFill>
          <a:ln>
            <a:noFill/>
          </a:ln>
          <a:effectLst/>
        </c:spPr>
        <c:marker>
          <c:symbol val="none"/>
        </c:marker>
      </c:pivotFmt>
    </c:pivotFmts>
    <c:plotArea>
      <c:layout>
        <c:manualLayout>
          <c:layoutTarget val="inner"/>
          <c:xMode val="edge"/>
          <c:yMode val="edge"/>
          <c:x val="0.12514140283915523"/>
          <c:y val="7.8260865737718704E-2"/>
          <c:w val="0.77761561210335095"/>
          <c:h val="0.80882956869811862"/>
        </c:manualLayout>
      </c:layout>
      <c:areaChart>
        <c:grouping val="standard"/>
        <c:varyColors val="0"/>
        <c:ser>
          <c:idx val="0"/>
          <c:order val="0"/>
          <c:tx>
            <c:strRef>
              <c:f>'colour vs price'!$B$3</c:f>
              <c:strCache>
                <c:ptCount val="1"/>
                <c:pt idx="0">
                  <c:v>Total</c:v>
                </c:pt>
              </c:strCache>
            </c:strRef>
          </c:tx>
          <c:spPr>
            <a:solidFill>
              <a:schemeClr val="accent6">
                <a:lumMod val="60000"/>
                <a:lumOff val="40000"/>
              </a:schemeClr>
            </a:solidFill>
            <a:ln>
              <a:noFill/>
            </a:ln>
            <a:effectLst/>
          </c:spPr>
          <c:cat>
            <c:strRef>
              <c:f>'colour vs price'!$A$4:$A$10</c:f>
              <c:strCache>
                <c:ptCount val="6"/>
                <c:pt idx="0">
                  <c:v>Black</c:v>
                </c:pt>
                <c:pt idx="1">
                  <c:v>Blue</c:v>
                </c:pt>
                <c:pt idx="2">
                  <c:v>Green</c:v>
                </c:pt>
                <c:pt idx="3">
                  <c:v>Red</c:v>
                </c:pt>
                <c:pt idx="4">
                  <c:v>Silver</c:v>
                </c:pt>
                <c:pt idx="5">
                  <c:v>White</c:v>
                </c:pt>
              </c:strCache>
            </c:strRef>
          </c:cat>
          <c:val>
            <c:numRef>
              <c:f>'colour vs price'!$B$4:$B$10</c:f>
              <c:numCache>
                <c:formatCode>General</c:formatCode>
                <c:ptCount val="6"/>
                <c:pt idx="0">
                  <c:v>16317</c:v>
                </c:pt>
                <c:pt idx="1">
                  <c:v>10043</c:v>
                </c:pt>
                <c:pt idx="2">
                  <c:v>11755</c:v>
                </c:pt>
                <c:pt idx="3">
                  <c:v>11311</c:v>
                </c:pt>
                <c:pt idx="4">
                  <c:v>20258</c:v>
                </c:pt>
                <c:pt idx="5">
                  <c:v>8424</c:v>
                </c:pt>
              </c:numCache>
            </c:numRef>
          </c:val>
          <c:extLst>
            <c:ext xmlns:c16="http://schemas.microsoft.com/office/drawing/2014/chart" uri="{C3380CC4-5D6E-409C-BE32-E72D297353CC}">
              <c16:uniqueId val="{00000000-D343-46D3-85AC-79B79F139F16}"/>
            </c:ext>
          </c:extLst>
        </c:ser>
        <c:dLbls>
          <c:showLegendKey val="0"/>
          <c:showVal val="0"/>
          <c:showCatName val="0"/>
          <c:showSerName val="0"/>
          <c:showPercent val="0"/>
          <c:showBubbleSize val="0"/>
        </c:dLbls>
        <c:axId val="533809439"/>
        <c:axId val="533801951"/>
      </c:areaChart>
      <c:catAx>
        <c:axId val="53380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533801951"/>
        <c:crosses val="autoZero"/>
        <c:auto val="1"/>
        <c:lblAlgn val="ctr"/>
        <c:lblOffset val="100"/>
        <c:noMultiLvlLbl val="0"/>
      </c:catAx>
      <c:valAx>
        <c:axId val="5338019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53380943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PIVOT.xlsx]model vs cost!PivotTable3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6">
                <a:lumMod val="40000"/>
                <a:lumOff val="60000"/>
              </a:schemeClr>
            </a:solidFill>
            <a:round/>
          </a:ln>
          <a:effectLst/>
        </c:spPr>
        <c:marker>
          <c:symbol val="none"/>
        </c:marker>
      </c:pivotFmt>
      <c:pivotFmt>
        <c:idx val="5"/>
        <c:spPr>
          <a:ln w="28575" cap="rnd">
            <a:solidFill>
              <a:schemeClr val="accent6">
                <a:lumMod val="40000"/>
                <a:lumOff val="60000"/>
              </a:schemeClr>
            </a:solidFill>
            <a:round/>
          </a:ln>
          <a:effectLst/>
        </c:spPr>
        <c:marker>
          <c:symbol val="none"/>
        </c:marker>
      </c:pivotFmt>
    </c:pivotFmts>
    <c:plotArea>
      <c:layout>
        <c:manualLayout>
          <c:layoutTarget val="inner"/>
          <c:xMode val="edge"/>
          <c:yMode val="edge"/>
          <c:x val="0.10274199850883807"/>
          <c:y val="0.28064704962188425"/>
          <c:w val="0.86486351706036746"/>
          <c:h val="0.51667768870280939"/>
        </c:manualLayout>
      </c:layout>
      <c:lineChart>
        <c:grouping val="standard"/>
        <c:varyColors val="0"/>
        <c:ser>
          <c:idx val="0"/>
          <c:order val="0"/>
          <c:tx>
            <c:strRef>
              <c:f>'model vs cost'!$B$3</c:f>
              <c:strCache>
                <c:ptCount val="1"/>
                <c:pt idx="0">
                  <c:v>Total</c:v>
                </c:pt>
              </c:strCache>
            </c:strRef>
          </c:tx>
          <c:spPr>
            <a:ln w="28575" cap="rnd">
              <a:solidFill>
                <a:schemeClr val="accent6">
                  <a:lumMod val="40000"/>
                  <a:lumOff val="60000"/>
                </a:schemeClr>
              </a:solidFill>
              <a:round/>
            </a:ln>
            <a:effectLst/>
          </c:spPr>
          <c:marker>
            <c:symbol val="none"/>
          </c:marker>
          <c:cat>
            <c:strRef>
              <c:f>'model vs cost'!$A$4:$A$19</c:f>
              <c:strCache>
                <c:ptCount val="15"/>
                <c:pt idx="0">
                  <c:v>Accord</c:v>
                </c:pt>
                <c:pt idx="1">
                  <c:v>Altima</c:v>
                </c:pt>
                <c:pt idx="2">
                  <c:v>Camry</c:v>
                </c:pt>
                <c:pt idx="3">
                  <c:v>Charger</c:v>
                </c:pt>
                <c:pt idx="4">
                  <c:v>Civic</c:v>
                </c:pt>
                <c:pt idx="5">
                  <c:v>Corolla</c:v>
                </c:pt>
                <c:pt idx="6">
                  <c:v>CRV</c:v>
                </c:pt>
                <c:pt idx="7">
                  <c:v>Escape</c:v>
                </c:pt>
                <c:pt idx="8">
                  <c:v>F-150</c:v>
                </c:pt>
                <c:pt idx="9">
                  <c:v>Fusion</c:v>
                </c:pt>
                <c:pt idx="10">
                  <c:v>Impala</c:v>
                </c:pt>
                <c:pt idx="11">
                  <c:v>Malibu</c:v>
                </c:pt>
                <c:pt idx="12">
                  <c:v>Maxima</c:v>
                </c:pt>
                <c:pt idx="13">
                  <c:v>Mustang</c:v>
                </c:pt>
                <c:pt idx="14">
                  <c:v>Silverado</c:v>
                </c:pt>
              </c:strCache>
            </c:strRef>
          </c:cat>
          <c:val>
            <c:numRef>
              <c:f>'model vs cost'!$B$4:$B$19</c:f>
              <c:numCache>
                <c:formatCode>General</c:formatCode>
                <c:ptCount val="15"/>
                <c:pt idx="0">
                  <c:v>6500</c:v>
                </c:pt>
                <c:pt idx="1">
                  <c:v>5500</c:v>
                </c:pt>
                <c:pt idx="2">
                  <c:v>1900</c:v>
                </c:pt>
                <c:pt idx="3">
                  <c:v>9300</c:v>
                </c:pt>
                <c:pt idx="4">
                  <c:v>1900</c:v>
                </c:pt>
                <c:pt idx="5">
                  <c:v>6300</c:v>
                </c:pt>
                <c:pt idx="6">
                  <c:v>4100</c:v>
                </c:pt>
                <c:pt idx="7">
                  <c:v>6950</c:v>
                </c:pt>
                <c:pt idx="8">
                  <c:v>3000</c:v>
                </c:pt>
                <c:pt idx="9">
                  <c:v>2100</c:v>
                </c:pt>
                <c:pt idx="10">
                  <c:v>5500</c:v>
                </c:pt>
                <c:pt idx="11">
                  <c:v>3000</c:v>
                </c:pt>
                <c:pt idx="12">
                  <c:v>2500</c:v>
                </c:pt>
                <c:pt idx="13">
                  <c:v>3100</c:v>
                </c:pt>
                <c:pt idx="14">
                  <c:v>4500</c:v>
                </c:pt>
              </c:numCache>
            </c:numRef>
          </c:val>
          <c:smooth val="0"/>
          <c:extLst>
            <c:ext xmlns:c16="http://schemas.microsoft.com/office/drawing/2014/chart" uri="{C3380CC4-5D6E-409C-BE32-E72D297353CC}">
              <c16:uniqueId val="{00000000-5772-47B4-BF03-F1C914830210}"/>
            </c:ext>
          </c:extLst>
        </c:ser>
        <c:dLbls>
          <c:showLegendKey val="0"/>
          <c:showVal val="0"/>
          <c:showCatName val="0"/>
          <c:showSerName val="0"/>
          <c:showPercent val="0"/>
          <c:showBubbleSize val="0"/>
        </c:dLbls>
        <c:smooth val="0"/>
        <c:axId val="1824906816"/>
        <c:axId val="1824913056"/>
      </c:lineChart>
      <c:catAx>
        <c:axId val="18249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24913056"/>
        <c:crosses val="autoZero"/>
        <c:auto val="1"/>
        <c:lblAlgn val="ctr"/>
        <c:lblOffset val="100"/>
        <c:noMultiLvlLbl val="0"/>
      </c:catAx>
      <c:valAx>
        <c:axId val="182491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24906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PIVOT.xlsx]Colour vs Mileage!PivotTable7</c:name>
    <c:fmtId val="16"/>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6">
              <a:lumMod val="7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3">
              <a:lumMod val="20000"/>
              <a:lumOff val="8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bg1">
              <a:lumMod val="8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lumMod val="20000"/>
              <a:lumOff val="8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bg1">
              <a:lumMod val="8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7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lumMod val="20000"/>
              <a:lumOff val="8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bg1">
              <a:lumMod val="8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7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lumMod val="20000"/>
              <a:lumOff val="8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60000"/>
              <a:lumOff val="4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bg1">
              <a:lumMod val="8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75000"/>
            </a:schemeClr>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3">
              <a:lumMod val="20000"/>
              <a:lumOff val="80000"/>
            </a:schemeClr>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bg1">
              <a:lumMod val="85000"/>
            </a:schemeClr>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1"/>
          </a:solidFill>
          <a:ln>
            <a:noFill/>
          </a:ln>
          <a:effectLst>
            <a:outerShdw blurRad="254000" sx="102000" sy="102000" algn="ctr" rotWithShape="0">
              <a:prstClr val="black">
                <a:alpha val="20000"/>
              </a:prstClr>
            </a:outerShdw>
          </a:effectLst>
        </c:spP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643236809435369"/>
          <c:y val="3.3450146007525192E-3"/>
          <c:w val="0.43606036905308726"/>
          <c:h val="0.78204238859461139"/>
        </c:manualLayout>
      </c:layout>
      <c:doughnutChart>
        <c:varyColors val="1"/>
        <c:ser>
          <c:idx val="0"/>
          <c:order val="0"/>
          <c:tx>
            <c:strRef>
              <c:f>'Colour vs Mileage'!$B$3</c:f>
              <c:strCache>
                <c:ptCount val="1"/>
                <c:pt idx="0">
                  <c:v>Total</c:v>
                </c:pt>
              </c:strCache>
            </c:strRef>
          </c:tx>
          <c:dPt>
            <c:idx val="0"/>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F83-4FFD-89DC-E3036C0A6F0D}"/>
              </c:ext>
            </c:extLst>
          </c:dPt>
          <c:dPt>
            <c:idx val="1"/>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F83-4FFD-89DC-E3036C0A6F0D}"/>
              </c:ext>
            </c:extLst>
          </c:dPt>
          <c:dPt>
            <c:idx val="2"/>
            <c:bubble3D val="0"/>
            <c:spPr>
              <a:solidFill>
                <a:schemeClr val="accent3">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F83-4FFD-89DC-E3036C0A6F0D}"/>
              </c:ext>
            </c:extLst>
          </c:dPt>
          <c:dPt>
            <c:idx val="3"/>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F83-4FFD-89DC-E3036C0A6F0D}"/>
              </c:ext>
            </c:extLst>
          </c:dPt>
          <c:dPt>
            <c:idx val="4"/>
            <c:bubble3D val="0"/>
            <c:spPr>
              <a:solidFill>
                <a:schemeClr val="bg1">
                  <a:lumMod val="8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F83-4FFD-89DC-E3036C0A6F0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F83-4FFD-89DC-E3036C0A6F0D}"/>
              </c:ext>
            </c:extLst>
          </c:dPt>
          <c:dLbls>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0F83-4FFD-89DC-E3036C0A6F0D}"/>
                </c:ext>
              </c:extLst>
            </c:dLbl>
            <c:dLbl>
              <c:idx val="1"/>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F83-4FFD-89DC-E3036C0A6F0D}"/>
                </c:ext>
              </c:extLst>
            </c:dLbl>
            <c:dLbl>
              <c:idx val="2"/>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0F83-4FFD-89DC-E3036C0A6F0D}"/>
                </c:ext>
              </c:extLst>
            </c:dLbl>
            <c:dLbl>
              <c:idx val="3"/>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0F83-4FFD-89DC-E3036C0A6F0D}"/>
                </c:ext>
              </c:extLst>
            </c:dLbl>
            <c:dLbl>
              <c:idx val="4"/>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0F83-4FFD-89DC-E3036C0A6F0D}"/>
                </c:ext>
              </c:extLst>
            </c:dLbl>
            <c:dLbl>
              <c:idx val="5"/>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B-0F83-4FFD-89DC-E3036C0A6F0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'Colour vs Mileage'!$A$4:$A$10</c:f>
              <c:strCache>
                <c:ptCount val="6"/>
                <c:pt idx="0">
                  <c:v>Black</c:v>
                </c:pt>
                <c:pt idx="1">
                  <c:v>Blue</c:v>
                </c:pt>
                <c:pt idx="2">
                  <c:v>Green</c:v>
                </c:pt>
                <c:pt idx="3">
                  <c:v>Red</c:v>
                </c:pt>
                <c:pt idx="4">
                  <c:v>Silver</c:v>
                </c:pt>
                <c:pt idx="5">
                  <c:v>White</c:v>
                </c:pt>
              </c:strCache>
            </c:strRef>
          </c:cat>
          <c:val>
            <c:numRef>
              <c:f>'Colour vs Mileage'!$B$4:$B$10</c:f>
              <c:numCache>
                <c:formatCode>General</c:formatCode>
                <c:ptCount val="6"/>
                <c:pt idx="0">
                  <c:v>493933</c:v>
                </c:pt>
                <c:pt idx="1">
                  <c:v>275145</c:v>
                </c:pt>
                <c:pt idx="2">
                  <c:v>234311</c:v>
                </c:pt>
                <c:pt idx="3">
                  <c:v>206194</c:v>
                </c:pt>
                <c:pt idx="4">
                  <c:v>382784</c:v>
                </c:pt>
                <c:pt idx="5">
                  <c:v>418900</c:v>
                </c:pt>
              </c:numCache>
            </c:numRef>
          </c:val>
          <c:extLst>
            <c:ext xmlns:c16="http://schemas.microsoft.com/office/drawing/2014/chart" uri="{C3380CC4-5D6E-409C-BE32-E72D297353CC}">
              <c16:uniqueId val="{0000000C-0F83-4FFD-89DC-E3036C0A6F0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386028312324555"/>
          <c:y val="0.14094774970081517"/>
          <c:w val="0.16997542317478853"/>
          <c:h val="0.5730150918635170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PIVOT.xlsx]make vs mileage!PivotTable2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stacked"/>
        <c:varyColors val="0"/>
        <c:ser>
          <c:idx val="0"/>
          <c:order val="0"/>
          <c:tx>
            <c:strRef>
              <c:f>'make vs mileage'!$B$3</c:f>
              <c:strCache>
                <c:ptCount val="1"/>
                <c:pt idx="0">
                  <c:v>Total</c:v>
                </c:pt>
              </c:strCache>
            </c:strRef>
          </c:tx>
          <c:spPr>
            <a:solidFill>
              <a:schemeClr val="accent1"/>
            </a:solidFill>
            <a:ln>
              <a:noFill/>
            </a:ln>
            <a:effectLst/>
          </c:spPr>
          <c:invertIfNegative val="0"/>
          <c:cat>
            <c:strRef>
              <c:f>'make vs mileage'!$A$4:$A$10</c:f>
              <c:strCache>
                <c:ptCount val="6"/>
                <c:pt idx="0">
                  <c:v>Chevrolet</c:v>
                </c:pt>
                <c:pt idx="1">
                  <c:v>Honda</c:v>
                </c:pt>
                <c:pt idx="2">
                  <c:v>Toyota</c:v>
                </c:pt>
                <c:pt idx="3">
                  <c:v>Ford</c:v>
                </c:pt>
                <c:pt idx="4">
                  <c:v>Dodge</c:v>
                </c:pt>
                <c:pt idx="5">
                  <c:v>Nissan</c:v>
                </c:pt>
              </c:strCache>
            </c:strRef>
          </c:cat>
          <c:val>
            <c:numRef>
              <c:f>'make vs mileage'!$B$4:$B$10</c:f>
              <c:numCache>
                <c:formatCode>_(* #,##0_);_(* \(#,##0\);_(* "-"??_);_(@_)</c:formatCode>
                <c:ptCount val="6"/>
                <c:pt idx="0">
                  <c:v>477017</c:v>
                </c:pt>
                <c:pt idx="1">
                  <c:v>448116</c:v>
                </c:pt>
                <c:pt idx="2">
                  <c:v>352137</c:v>
                </c:pt>
                <c:pt idx="3">
                  <c:v>277260</c:v>
                </c:pt>
                <c:pt idx="4">
                  <c:v>229801</c:v>
                </c:pt>
                <c:pt idx="5">
                  <c:v>226936</c:v>
                </c:pt>
              </c:numCache>
            </c:numRef>
          </c:val>
          <c:extLst>
            <c:ext xmlns:c16="http://schemas.microsoft.com/office/drawing/2014/chart" uri="{C3380CC4-5D6E-409C-BE32-E72D297353CC}">
              <c16:uniqueId val="{00000000-6A7A-4B21-800C-A96073C6122A}"/>
            </c:ext>
          </c:extLst>
        </c:ser>
        <c:dLbls>
          <c:showLegendKey val="0"/>
          <c:showVal val="0"/>
          <c:showCatName val="0"/>
          <c:showSerName val="0"/>
          <c:showPercent val="0"/>
          <c:showBubbleSize val="0"/>
        </c:dLbls>
        <c:gapWidth val="150"/>
        <c:overlap val="100"/>
        <c:axId val="533800287"/>
        <c:axId val="533811935"/>
      </c:barChart>
      <c:catAx>
        <c:axId val="533800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11935"/>
        <c:crosses val="autoZero"/>
        <c:auto val="1"/>
        <c:lblAlgn val="ctr"/>
        <c:lblOffset val="100"/>
        <c:noMultiLvlLbl val="0"/>
      </c:catAx>
      <c:valAx>
        <c:axId val="533811935"/>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002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PIVOT.xlsx]model vs cost!PivotTable3</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9.0692038495188101E-2"/>
          <c:y val="7.8703703703703706E-2"/>
          <c:w val="0.86486351706036746"/>
          <c:h val="0.74613334791484398"/>
        </c:manualLayout>
      </c:layout>
      <c:lineChart>
        <c:grouping val="standard"/>
        <c:varyColors val="0"/>
        <c:ser>
          <c:idx val="0"/>
          <c:order val="0"/>
          <c:tx>
            <c:strRef>
              <c:f>'model vs cost'!$B$3</c:f>
              <c:strCache>
                <c:ptCount val="1"/>
                <c:pt idx="0">
                  <c:v>Total</c:v>
                </c:pt>
              </c:strCache>
            </c:strRef>
          </c:tx>
          <c:spPr>
            <a:ln w="28575" cap="rnd">
              <a:solidFill>
                <a:schemeClr val="accent1"/>
              </a:solidFill>
              <a:round/>
            </a:ln>
            <a:effectLst/>
          </c:spPr>
          <c:marker>
            <c:symbol val="none"/>
          </c:marker>
          <c:cat>
            <c:strRef>
              <c:f>'model vs cost'!$A$4:$A$19</c:f>
              <c:strCache>
                <c:ptCount val="15"/>
                <c:pt idx="0">
                  <c:v>Accord</c:v>
                </c:pt>
                <c:pt idx="1">
                  <c:v>Altima</c:v>
                </c:pt>
                <c:pt idx="2">
                  <c:v>Camry</c:v>
                </c:pt>
                <c:pt idx="3">
                  <c:v>Charger</c:v>
                </c:pt>
                <c:pt idx="4">
                  <c:v>Civic</c:v>
                </c:pt>
                <c:pt idx="5">
                  <c:v>Corolla</c:v>
                </c:pt>
                <c:pt idx="6">
                  <c:v>CRV</c:v>
                </c:pt>
                <c:pt idx="7">
                  <c:v>Escape</c:v>
                </c:pt>
                <c:pt idx="8">
                  <c:v>F-150</c:v>
                </c:pt>
                <c:pt idx="9">
                  <c:v>Fusion</c:v>
                </c:pt>
                <c:pt idx="10">
                  <c:v>Impala</c:v>
                </c:pt>
                <c:pt idx="11">
                  <c:v>Malibu</c:v>
                </c:pt>
                <c:pt idx="12">
                  <c:v>Maxima</c:v>
                </c:pt>
                <c:pt idx="13">
                  <c:v>Mustang</c:v>
                </c:pt>
                <c:pt idx="14">
                  <c:v>Silverado</c:v>
                </c:pt>
              </c:strCache>
            </c:strRef>
          </c:cat>
          <c:val>
            <c:numRef>
              <c:f>'model vs cost'!$B$4:$B$19</c:f>
              <c:numCache>
                <c:formatCode>General</c:formatCode>
                <c:ptCount val="15"/>
                <c:pt idx="0">
                  <c:v>6500</c:v>
                </c:pt>
                <c:pt idx="1">
                  <c:v>5500</c:v>
                </c:pt>
                <c:pt idx="2">
                  <c:v>1900</c:v>
                </c:pt>
                <c:pt idx="3">
                  <c:v>9300</c:v>
                </c:pt>
                <c:pt idx="4">
                  <c:v>1900</c:v>
                </c:pt>
                <c:pt idx="5">
                  <c:v>6300</c:v>
                </c:pt>
                <c:pt idx="6">
                  <c:v>4100</c:v>
                </c:pt>
                <c:pt idx="7">
                  <c:v>6950</c:v>
                </c:pt>
                <c:pt idx="8">
                  <c:v>3000</c:v>
                </c:pt>
                <c:pt idx="9">
                  <c:v>2100</c:v>
                </c:pt>
                <c:pt idx="10">
                  <c:v>5500</c:v>
                </c:pt>
                <c:pt idx="11">
                  <c:v>3000</c:v>
                </c:pt>
                <c:pt idx="12">
                  <c:v>2500</c:v>
                </c:pt>
                <c:pt idx="13">
                  <c:v>3100</c:v>
                </c:pt>
                <c:pt idx="14">
                  <c:v>4500</c:v>
                </c:pt>
              </c:numCache>
            </c:numRef>
          </c:val>
          <c:smooth val="0"/>
          <c:extLst>
            <c:ext xmlns:c16="http://schemas.microsoft.com/office/drawing/2014/chart" uri="{C3380CC4-5D6E-409C-BE32-E72D297353CC}">
              <c16:uniqueId val="{00000000-3668-45B6-856F-66D83B1210F4}"/>
            </c:ext>
          </c:extLst>
        </c:ser>
        <c:dLbls>
          <c:showLegendKey val="0"/>
          <c:showVal val="0"/>
          <c:showCatName val="0"/>
          <c:showSerName val="0"/>
          <c:showPercent val="0"/>
          <c:showBubbleSize val="0"/>
        </c:dLbls>
        <c:smooth val="0"/>
        <c:axId val="1824906816"/>
        <c:axId val="1824913056"/>
      </c:lineChart>
      <c:catAx>
        <c:axId val="18249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13056"/>
        <c:crosses val="autoZero"/>
        <c:auto val="1"/>
        <c:lblAlgn val="ctr"/>
        <c:lblOffset val="100"/>
        <c:noMultiLvlLbl val="0"/>
      </c:catAx>
      <c:valAx>
        <c:axId val="182491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06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PIVOT.xlsx]Colour vs Mileage!PivotTable7</c:name>
    <c:fmtId val="0"/>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'Colour vs Mileage'!$B$3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AF-4E8F-AC52-8CF9491532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AF-4E8F-AC52-8CF9491532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AF-4E8F-AC52-8CF9491532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2AF-4E8F-AC52-8CF9491532B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2AF-4E8F-AC52-8CF9491532B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2AF-4E8F-AC52-8CF9491532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'Colour vs Mileage'!$A$4:$A$10</c:f>
              <c:strCache>
                <c:ptCount val="6"/>
                <c:pt idx="0">
                  <c:v>Black</c:v>
                </c:pt>
                <c:pt idx="1">
                  <c:v>Blue</c:v>
                </c:pt>
                <c:pt idx="2">
                  <c:v>Green</c:v>
                </c:pt>
                <c:pt idx="3">
                  <c:v>Red</c:v>
                </c:pt>
                <c:pt idx="4">
                  <c:v>Silver</c:v>
                </c:pt>
                <c:pt idx="5">
                  <c:v>White</c:v>
                </c:pt>
              </c:strCache>
            </c:strRef>
          </c:cat>
          <c:val>
            <c:numRef>
              <c:f>'Colour vs Mileage'!$B$4:$B$10</c:f>
              <c:numCache>
                <c:formatCode>General</c:formatCode>
                <c:ptCount val="6"/>
                <c:pt idx="0">
                  <c:v>493933</c:v>
                </c:pt>
                <c:pt idx="1">
                  <c:v>275145</c:v>
                </c:pt>
                <c:pt idx="2">
                  <c:v>234311</c:v>
                </c:pt>
                <c:pt idx="3">
                  <c:v>206194</c:v>
                </c:pt>
                <c:pt idx="4">
                  <c:v>382784</c:v>
                </c:pt>
                <c:pt idx="5">
                  <c:v>418900</c:v>
                </c:pt>
              </c:numCache>
            </c:numRef>
          </c:val>
          <c:extLst>
            <c:ext xmlns:c16="http://schemas.microsoft.com/office/drawing/2014/chart" uri="{C3380CC4-5D6E-409C-BE32-E72D297353CC}">
              <c16:uniqueId val="{00000001-01B3-436D-A9B7-F0DD42A833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723899</xdr:colOff>
      <xdr:row>2</xdr:row>
      <xdr:rowOff>25400</xdr:rowOff>
    </xdr:from>
    <xdr:to>
      <xdr:col>8</xdr:col>
      <xdr:colOff>339724</xdr:colOff>
      <xdr:row>17</xdr:row>
      <xdr:rowOff>6350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238125</xdr:colOff>
      <xdr:row>5</xdr:row>
      <xdr:rowOff>50800</xdr:rowOff>
    </xdr:from>
    <xdr:to>
      <xdr:col>10</xdr:col>
      <xdr:colOff>38100</xdr:colOff>
      <xdr:row>18</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241300</xdr:colOff>
      <xdr:row>2</xdr:row>
      <xdr:rowOff>139700</xdr:rowOff>
    </xdr:from>
    <xdr:to>
      <xdr:col>8</xdr:col>
      <xdr:colOff>241300</xdr:colOff>
      <xdr:row>16</xdr:row>
      <xdr:rowOff>85725</xdr:rowOff>
    </xdr:to>
    <mc:AlternateContent xmlns:mc="http://schemas.openxmlformats.org/markup-compatibility/2006" xmlns:a14="http://schemas.microsoft.com/office/drawing/2010/main">
      <mc:Choice Requires="a14">
        <xdr:graphicFrame macro="">
          <xdr:nvGraphicFramePr>
            <xdr:cNvPr id="3" name="Make 2"/>
            <xdr:cNvGraphicFramePr/>
          </xdr:nvGraphicFramePr>
          <xdr:xfrm>
            <a:off x="0" y="0"/>
            <a:ext cx="0" cy="0"/>
          </xdr:xfrm>
          <a:graphic>
            <a:graphicData uri="http://schemas.microsoft.com/office/drawing/2010/slicer">
              <sle:slicer xmlns:sle="http://schemas.microsoft.com/office/drawing/2010/slicer" name="Make 2"/>
            </a:graphicData>
          </a:graphic>
        </xdr:graphicFrame>
      </mc:Choice>
      <mc:Fallback xmlns="">
        <xdr:sp macro="" textlink="">
          <xdr:nvSpPr>
            <xdr:cNvPr id="0" name=""/>
            <xdr:cNvSpPr>
              <a:spLocks noTextEdit="1"/>
            </xdr:cNvSpPr>
          </xdr:nvSpPr>
          <xdr:spPr>
            <a:xfrm>
              <a:off x="3600450" y="5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107950</xdr:colOff>
      <xdr:row>5</xdr:row>
      <xdr:rowOff>63500</xdr:rowOff>
    </xdr:from>
    <xdr:to>
      <xdr:col>9</xdr:col>
      <xdr:colOff>107950</xdr:colOff>
      <xdr:row>19</xdr:row>
      <xdr:rowOff>9525</xdr:rowOff>
    </xdr:to>
    <mc:AlternateContent xmlns:mc="http://schemas.openxmlformats.org/markup-compatibility/2006" xmlns:a14="http://schemas.microsoft.com/office/drawing/2010/main">
      <mc:Choice Requires="a14">
        <xdr:graphicFrame macro="">
          <xdr:nvGraphicFramePr>
            <xdr:cNvPr id="4" name="Model 4"/>
            <xdr:cNvGraphicFramePr/>
          </xdr:nvGraphicFramePr>
          <xdr:xfrm>
            <a:off x="0" y="0"/>
            <a:ext cx="0" cy="0"/>
          </xdr:xfrm>
          <a:graphic>
            <a:graphicData uri="http://schemas.microsoft.com/office/drawing/2010/slicer">
              <sle:slicer xmlns:sle="http://schemas.microsoft.com/office/drawing/2010/slicer" name="Model 4"/>
            </a:graphicData>
          </a:graphic>
        </xdr:graphicFrame>
      </mc:Choice>
      <mc:Fallback xmlns="">
        <xdr:sp macro="" textlink="">
          <xdr:nvSpPr>
            <xdr:cNvPr id="0" name=""/>
            <xdr:cNvSpPr>
              <a:spLocks noTextEdit="1"/>
            </xdr:cNvSpPr>
          </xdr:nvSpPr>
          <xdr:spPr>
            <a:xfrm>
              <a:off x="4076700" y="984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584200</xdr:colOff>
      <xdr:row>7</xdr:row>
      <xdr:rowOff>171450</xdr:rowOff>
    </xdr:from>
    <xdr:to>
      <xdr:col>9</xdr:col>
      <xdr:colOff>584200</xdr:colOff>
      <xdr:row>21</xdr:row>
      <xdr:rowOff>117475</xdr:rowOff>
    </xdr:to>
    <mc:AlternateContent xmlns:mc="http://schemas.openxmlformats.org/markup-compatibility/2006" xmlns:a14="http://schemas.microsoft.com/office/drawing/2010/main">
      <mc:Choice Requires="a14">
        <xdr:graphicFrame macro="">
          <xdr:nvGraphicFramePr>
            <xdr:cNvPr id="5" name="Color 4"/>
            <xdr:cNvGraphicFramePr/>
          </xdr:nvGraphicFramePr>
          <xdr:xfrm>
            <a:off x="0" y="0"/>
            <a:ext cx="0" cy="0"/>
          </xdr:xfrm>
          <a:graphic>
            <a:graphicData uri="http://schemas.microsoft.com/office/drawing/2010/slicer">
              <sle:slicer xmlns:sle="http://schemas.microsoft.com/office/drawing/2010/slicer" name="Color 4"/>
            </a:graphicData>
          </a:graphic>
        </xdr:graphicFrame>
      </mc:Choice>
      <mc:Fallback xmlns="">
        <xdr:sp macro="" textlink="">
          <xdr:nvSpPr>
            <xdr:cNvPr id="0" name=""/>
            <xdr:cNvSpPr>
              <a:spLocks noTextEdit="1"/>
            </xdr:cNvSpPr>
          </xdr:nvSpPr>
          <xdr:spPr>
            <a:xfrm>
              <a:off x="4552950" y="146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564444</xdr:colOff>
      <xdr:row>12</xdr:row>
      <xdr:rowOff>98778</xdr:rowOff>
    </xdr:from>
    <xdr:to>
      <xdr:col>25</xdr:col>
      <xdr:colOff>56445</xdr:colOff>
      <xdr:row>57</xdr:row>
      <xdr:rowOff>104951</xdr:rowOff>
    </xdr:to>
    <xdr:sp macro="" textlink="">
      <xdr:nvSpPr>
        <xdr:cNvPr id="2" name="Rectangle 1"/>
        <xdr:cNvSpPr/>
      </xdr:nvSpPr>
      <xdr:spPr>
        <a:xfrm>
          <a:off x="564444" y="2300111"/>
          <a:ext cx="14633223" cy="8261173"/>
        </a:xfrm>
        <a:prstGeom prst="rect">
          <a:avLst/>
        </a:prstGeom>
        <a:solidFill>
          <a:schemeClr val="accent6">
            <a:lumMod val="60000"/>
            <a:lumOff val="40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459540</xdr:colOff>
      <xdr:row>8</xdr:row>
      <xdr:rowOff>8356</xdr:rowOff>
    </xdr:from>
    <xdr:to>
      <xdr:col>5</xdr:col>
      <xdr:colOff>401052</xdr:colOff>
      <xdr:row>28</xdr:row>
      <xdr:rowOff>100263</xdr:rowOff>
    </xdr:to>
    <xdr:sp macro="" textlink="">
      <xdr:nvSpPr>
        <xdr:cNvPr id="4" name="Rounded Rectangle 3"/>
        <xdr:cNvSpPr/>
      </xdr:nvSpPr>
      <xdr:spPr>
        <a:xfrm>
          <a:off x="1679408" y="1478882"/>
          <a:ext cx="1771315" cy="3768223"/>
        </a:xfrm>
        <a:prstGeom prst="roundRect">
          <a:avLst>
            <a:gd name="adj" fmla="val 10055"/>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367632</xdr:colOff>
      <xdr:row>17</xdr:row>
      <xdr:rowOff>150395</xdr:rowOff>
    </xdr:from>
    <xdr:to>
      <xdr:col>13</xdr:col>
      <xdr:colOff>192171</xdr:colOff>
      <xdr:row>28</xdr:row>
      <xdr:rowOff>125329</xdr:rowOff>
    </xdr:to>
    <xdr:sp macro="" textlink="">
      <xdr:nvSpPr>
        <xdr:cNvPr id="5" name="Rounded Rectangle 4"/>
        <xdr:cNvSpPr/>
      </xdr:nvSpPr>
      <xdr:spPr>
        <a:xfrm>
          <a:off x="4027237" y="3275263"/>
          <a:ext cx="4094079" cy="1996908"/>
        </a:xfrm>
        <a:prstGeom prst="roundRect">
          <a:avLst>
            <a:gd name="adj" fmla="val 10809"/>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70556</xdr:colOff>
      <xdr:row>18</xdr:row>
      <xdr:rowOff>56444</xdr:rowOff>
    </xdr:from>
    <xdr:to>
      <xdr:col>5</xdr:col>
      <xdr:colOff>437445</xdr:colOff>
      <xdr:row>57</xdr:row>
      <xdr:rowOff>14111</xdr:rowOff>
    </xdr:to>
    <xdr:sp macro="" textlink="">
      <xdr:nvSpPr>
        <xdr:cNvPr id="6" name="Rounded Rectangle 5"/>
        <xdr:cNvSpPr/>
      </xdr:nvSpPr>
      <xdr:spPr>
        <a:xfrm>
          <a:off x="677334" y="3358444"/>
          <a:ext cx="2765778" cy="7112000"/>
        </a:xfrm>
        <a:prstGeom prst="roundRect">
          <a:avLst>
            <a:gd name="adj" fmla="val 11091"/>
          </a:avLst>
        </a:prstGeom>
        <a:solidFill>
          <a:schemeClr val="accent6">
            <a:lumMod val="50000"/>
          </a:schemeClr>
        </a:solidFill>
        <a:ln>
          <a:solidFill>
            <a:schemeClr val="tx1">
              <a:lumMod val="75000"/>
              <a:lumOff val="25000"/>
            </a:schemeClr>
          </a:solidFill>
        </a:ln>
        <a:effectLst>
          <a:outerShdw blurRad="50800" dist="50800" dir="5400000" algn="ctr" rotWithShape="0">
            <a:srgbClr val="000000">
              <a:alpha val="88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352777</xdr:colOff>
      <xdr:row>23</xdr:row>
      <xdr:rowOff>169334</xdr:rowOff>
    </xdr:from>
    <xdr:to>
      <xdr:col>24</xdr:col>
      <xdr:colOff>550334</xdr:colOff>
      <xdr:row>56</xdr:row>
      <xdr:rowOff>183443</xdr:rowOff>
    </xdr:to>
    <xdr:sp macro="" textlink="">
      <xdr:nvSpPr>
        <xdr:cNvPr id="8" name="Rounded Rectangle 7"/>
        <xdr:cNvSpPr/>
      </xdr:nvSpPr>
      <xdr:spPr>
        <a:xfrm>
          <a:off x="11853333" y="4388556"/>
          <a:ext cx="3231445" cy="6067776"/>
        </a:xfrm>
        <a:prstGeom prst="roundRect">
          <a:avLst>
            <a:gd name="adj" fmla="val 9494"/>
          </a:avLst>
        </a:prstGeom>
        <a:solidFill>
          <a:schemeClr val="accent6">
            <a:lumMod val="50000"/>
          </a:schemeClr>
        </a:solidFill>
        <a:ln>
          <a:solidFill>
            <a:schemeClr val="tx1">
              <a:lumMod val="85000"/>
              <a:lumOff val="15000"/>
            </a:schemeClr>
          </a:solidFill>
        </a:ln>
        <a:effectLst>
          <a:outerShdw blurRad="292100" dist="50800" sx="88000" sy="88000" algn="ctr" rotWithShape="0">
            <a:srgbClr val="000000">
              <a:alpha val="79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169333</xdr:colOff>
      <xdr:row>41</xdr:row>
      <xdr:rowOff>84668</xdr:rowOff>
    </xdr:from>
    <xdr:to>
      <xdr:col>19</xdr:col>
      <xdr:colOff>211667</xdr:colOff>
      <xdr:row>57</xdr:row>
      <xdr:rowOff>28223</xdr:rowOff>
    </xdr:to>
    <xdr:sp macro="" textlink="">
      <xdr:nvSpPr>
        <xdr:cNvPr id="9" name="Rounded Rectangle 8"/>
        <xdr:cNvSpPr/>
      </xdr:nvSpPr>
      <xdr:spPr>
        <a:xfrm>
          <a:off x="7422444" y="7605890"/>
          <a:ext cx="4289779" cy="2878666"/>
        </a:xfrm>
        <a:prstGeom prst="roundRect">
          <a:avLst>
            <a:gd name="adj" fmla="val 12500"/>
          </a:avLst>
        </a:prstGeom>
        <a:solidFill>
          <a:schemeClr val="accent6">
            <a:lumMod val="50000"/>
          </a:schemeClr>
        </a:solidFill>
        <a:ln>
          <a:solidFill>
            <a:schemeClr val="tx1">
              <a:lumMod val="95000"/>
              <a:lumOff val="5000"/>
            </a:schemeClr>
          </a:solidFill>
        </a:ln>
        <a:effectLst>
          <a:outerShdw blurRad="317500" dist="50800" dir="5400000" sx="89000" sy="89000" algn="ctr" rotWithShape="0">
            <a:srgbClr val="000000">
              <a:alpha val="81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522112</xdr:colOff>
      <xdr:row>23</xdr:row>
      <xdr:rowOff>169334</xdr:rowOff>
    </xdr:from>
    <xdr:to>
      <xdr:col>12</xdr:col>
      <xdr:colOff>141112</xdr:colOff>
      <xdr:row>40</xdr:row>
      <xdr:rowOff>0</xdr:rowOff>
    </xdr:to>
    <xdr:sp macro="" textlink="">
      <xdr:nvSpPr>
        <xdr:cNvPr id="12" name="Rounded Rectangle 11"/>
        <xdr:cNvSpPr/>
      </xdr:nvSpPr>
      <xdr:spPr>
        <a:xfrm>
          <a:off x="3527779" y="4388556"/>
          <a:ext cx="3866444" cy="2949222"/>
        </a:xfrm>
        <a:prstGeom prst="roundRect">
          <a:avLst/>
        </a:prstGeom>
        <a:solidFill>
          <a:schemeClr val="accent6">
            <a:lumMod val="50000"/>
          </a:schemeClr>
        </a:solidFill>
        <a:ln>
          <a:solidFill>
            <a:schemeClr val="tx1">
              <a:lumMod val="95000"/>
              <a:lumOff val="5000"/>
            </a:schemeClr>
          </a:solidFill>
        </a:ln>
        <a:effectLst>
          <a:outerShdw blurRad="266700" dist="50800" dir="5400000" sx="55000" sy="55000" algn="ctr" rotWithShape="0">
            <a:srgbClr val="000000">
              <a:alpha val="69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592665</xdr:colOff>
      <xdr:row>41</xdr:row>
      <xdr:rowOff>112889</xdr:rowOff>
    </xdr:from>
    <xdr:to>
      <xdr:col>19</xdr:col>
      <xdr:colOff>14110</xdr:colOff>
      <xdr:row>47</xdr:row>
      <xdr:rowOff>28221</xdr:rowOff>
    </xdr:to>
    <xdr:sp macro="" textlink="">
      <xdr:nvSpPr>
        <xdr:cNvPr id="14" name="Rounded Rectangle 13"/>
        <xdr:cNvSpPr/>
      </xdr:nvSpPr>
      <xdr:spPr>
        <a:xfrm>
          <a:off x="7845776" y="7634111"/>
          <a:ext cx="3668890" cy="1015999"/>
        </a:xfrm>
        <a:prstGeom prst="roundRect">
          <a:avLst/>
        </a:prstGeom>
        <a:noFill/>
        <a:ln>
          <a:noFill/>
        </a:ln>
        <a:effectLst>
          <a:outerShdw blurRad="190500" dist="50800" dir="5400000" sx="64000" sy="64000" algn="ctr" rotWithShape="0">
            <a:srgbClr val="000000">
              <a:alpha val="69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40000"/>
                  <a:lumOff val="60000"/>
                </a:schemeClr>
              </a:solidFill>
              <a:latin typeface="Algerian" panose="04020705040A02060702" pitchFamily="82" charset="0"/>
            </a:rPr>
            <a:t>Model vs Cost</a:t>
          </a:r>
        </a:p>
      </xdr:txBody>
    </xdr:sp>
    <xdr:clientData/>
  </xdr:twoCellAnchor>
  <xdr:twoCellAnchor>
    <xdr:from>
      <xdr:col>6</xdr:col>
      <xdr:colOff>225779</xdr:colOff>
      <xdr:row>24</xdr:row>
      <xdr:rowOff>70555</xdr:rowOff>
    </xdr:from>
    <xdr:to>
      <xdr:col>11</xdr:col>
      <xdr:colOff>592668</xdr:colOff>
      <xdr:row>28</xdr:row>
      <xdr:rowOff>98777</xdr:rowOff>
    </xdr:to>
    <xdr:sp macro="" textlink="">
      <xdr:nvSpPr>
        <xdr:cNvPr id="16" name="Rounded Rectangle 15"/>
        <xdr:cNvSpPr/>
      </xdr:nvSpPr>
      <xdr:spPr>
        <a:xfrm>
          <a:off x="3838223" y="4473222"/>
          <a:ext cx="3400778" cy="761999"/>
        </a:xfrm>
        <a:prstGeom prst="roundRect">
          <a:avLst/>
        </a:prstGeom>
        <a:noFill/>
        <a:ln>
          <a:noFill/>
        </a:ln>
        <a:effectLst>
          <a:outerShdw blurRad="50800" dist="50800" dir="5400000" sx="51000" sy="51000" algn="ctr" rotWithShape="0">
            <a:srgbClr val="000000">
              <a:alpha val="99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40000"/>
                  <a:lumOff val="60000"/>
                </a:schemeClr>
              </a:solidFill>
              <a:latin typeface="Algerian" panose="04020705040A02060702" pitchFamily="82" charset="0"/>
            </a:rPr>
            <a:t>Colour vs Price</a:t>
          </a:r>
        </a:p>
      </xdr:txBody>
    </xdr:sp>
    <xdr:clientData/>
  </xdr:twoCellAnchor>
  <xdr:twoCellAnchor>
    <xdr:from>
      <xdr:col>12</xdr:col>
      <xdr:colOff>395111</xdr:colOff>
      <xdr:row>18</xdr:row>
      <xdr:rowOff>56444</xdr:rowOff>
    </xdr:from>
    <xdr:to>
      <xdr:col>18</xdr:col>
      <xdr:colOff>197554</xdr:colOff>
      <xdr:row>23</xdr:row>
      <xdr:rowOff>126998</xdr:rowOff>
    </xdr:to>
    <xdr:sp macro="" textlink="'model vs cost'!M8">
      <xdr:nvSpPr>
        <xdr:cNvPr id="19" name="Rounded Rectangle 18"/>
        <xdr:cNvSpPr/>
      </xdr:nvSpPr>
      <xdr:spPr>
        <a:xfrm>
          <a:off x="7648222" y="3358444"/>
          <a:ext cx="3443110" cy="987776"/>
        </a:xfrm>
        <a:prstGeom prst="roundRect">
          <a:avLst/>
        </a:prstGeom>
        <a:solidFill>
          <a:schemeClr val="accent6">
            <a:lumMod val="5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64A2F4F-3CA7-4368-832E-D2A7B932D178}" type="TxLink">
            <a:rPr lang="en-US" sz="3600" b="1" i="0" u="none" strike="noStrike">
              <a:solidFill>
                <a:schemeClr val="accent6">
                  <a:lumMod val="40000"/>
                  <a:lumOff val="60000"/>
                </a:schemeClr>
              </a:solidFill>
              <a:latin typeface="Algerian" panose="04020705040A02060702" pitchFamily="82" charset="0"/>
              <a:ea typeface="+mn-ea"/>
              <a:cs typeface="Calibri"/>
            </a:rPr>
            <a:pPr marL="0" indent="0" algn="ctr"/>
            <a:t>$78,108</a:t>
          </a:fld>
          <a:endParaRPr lang="en-US" sz="3600" b="1">
            <a:solidFill>
              <a:schemeClr val="accent6">
                <a:lumMod val="40000"/>
                <a:lumOff val="60000"/>
              </a:schemeClr>
            </a:solidFill>
            <a:latin typeface="Algerian" panose="04020705040A02060702" pitchFamily="82" charset="0"/>
            <a:ea typeface="+mn-ea"/>
            <a:cs typeface="+mn-cs"/>
          </a:endParaRPr>
        </a:p>
      </xdr:txBody>
    </xdr:sp>
    <xdr:clientData/>
  </xdr:twoCellAnchor>
  <xdr:twoCellAnchor>
    <xdr:from>
      <xdr:col>19</xdr:col>
      <xdr:colOff>465666</xdr:colOff>
      <xdr:row>18</xdr:row>
      <xdr:rowOff>56444</xdr:rowOff>
    </xdr:from>
    <xdr:to>
      <xdr:col>24</xdr:col>
      <xdr:colOff>296334</xdr:colOff>
      <xdr:row>23</xdr:row>
      <xdr:rowOff>98778</xdr:rowOff>
    </xdr:to>
    <xdr:sp macro="" textlink="'model vs cost'!O8">
      <xdr:nvSpPr>
        <xdr:cNvPr id="20" name="Rounded Rectangle 19"/>
        <xdr:cNvSpPr/>
      </xdr:nvSpPr>
      <xdr:spPr>
        <a:xfrm>
          <a:off x="11966222" y="3358444"/>
          <a:ext cx="2864556" cy="959556"/>
        </a:xfrm>
        <a:prstGeom prst="roundRect">
          <a:avLst/>
        </a:prstGeom>
        <a:solidFill>
          <a:schemeClr val="accent6">
            <a:lumMod val="5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30E5575-B3EF-42A6-B002-A3257AF40904}" type="TxLink">
            <a:rPr lang="en-US" sz="3600" b="1">
              <a:solidFill>
                <a:schemeClr val="accent6">
                  <a:lumMod val="40000"/>
                  <a:lumOff val="60000"/>
                </a:schemeClr>
              </a:solidFill>
              <a:latin typeface="Algerian" panose="04020705040A02060702" pitchFamily="82" charset="0"/>
              <a:ea typeface="+mn-ea"/>
              <a:cs typeface="+mn-cs"/>
            </a:rPr>
            <a:pPr marL="0" indent="0" algn="ctr"/>
            <a:t>$2,011,267</a:t>
          </a:fld>
          <a:endParaRPr lang="en-US" sz="3600" b="1">
            <a:solidFill>
              <a:schemeClr val="accent6">
                <a:lumMod val="40000"/>
                <a:lumOff val="60000"/>
              </a:schemeClr>
            </a:solidFill>
            <a:latin typeface="Algerian" panose="04020705040A02060702" pitchFamily="82" charset="0"/>
            <a:ea typeface="+mn-ea"/>
            <a:cs typeface="+mn-cs"/>
          </a:endParaRPr>
        </a:p>
      </xdr:txBody>
    </xdr:sp>
    <xdr:clientData/>
  </xdr:twoCellAnchor>
  <xdr:twoCellAnchor>
    <xdr:from>
      <xdr:col>5</xdr:col>
      <xdr:colOff>550793</xdr:colOff>
      <xdr:row>41</xdr:row>
      <xdr:rowOff>70555</xdr:rowOff>
    </xdr:from>
    <xdr:to>
      <xdr:col>11</xdr:col>
      <xdr:colOff>550332</xdr:colOff>
      <xdr:row>57</xdr:row>
      <xdr:rowOff>42333</xdr:rowOff>
    </xdr:to>
    <xdr:sp macro="" textlink="">
      <xdr:nvSpPr>
        <xdr:cNvPr id="31" name="Rounded Rectangle 30"/>
        <xdr:cNvSpPr/>
      </xdr:nvSpPr>
      <xdr:spPr>
        <a:xfrm>
          <a:off x="3556460" y="7591777"/>
          <a:ext cx="3640205" cy="2906889"/>
        </a:xfrm>
        <a:prstGeom prst="roundRect">
          <a:avLst>
            <a:gd name="adj" fmla="val 9409"/>
          </a:avLst>
        </a:prstGeom>
        <a:solidFill>
          <a:schemeClr val="accent6">
            <a:lumMod val="50000"/>
          </a:schemeClr>
        </a:solidFill>
        <a:ln>
          <a:solidFill>
            <a:schemeClr val="tx1">
              <a:lumMod val="95000"/>
              <a:lumOff val="5000"/>
            </a:schemeClr>
          </a:solidFill>
        </a:ln>
        <a:effectLst>
          <a:outerShdw blurRad="50800" dist="50800" dir="5400000" sx="86000" sy="86000" algn="ctr" rotWithShape="0">
            <a:srgbClr val="000000">
              <a:alpha val="7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86518</xdr:colOff>
      <xdr:row>13</xdr:row>
      <xdr:rowOff>14111</xdr:rowOff>
    </xdr:from>
    <xdr:to>
      <xdr:col>24</xdr:col>
      <xdr:colOff>564446</xdr:colOff>
      <xdr:row>17</xdr:row>
      <xdr:rowOff>141111</xdr:rowOff>
    </xdr:to>
    <xdr:sp macro="" textlink="">
      <xdr:nvSpPr>
        <xdr:cNvPr id="32" name="Rounded Rectangle 31"/>
        <xdr:cNvSpPr/>
      </xdr:nvSpPr>
      <xdr:spPr>
        <a:xfrm>
          <a:off x="693296" y="2398889"/>
          <a:ext cx="14405594" cy="860778"/>
        </a:xfrm>
        <a:prstGeom prst="roundRect">
          <a:avLst/>
        </a:prstGeom>
        <a:solidFill>
          <a:schemeClr val="accent6">
            <a:lumMod val="5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US" sz="4400">
              <a:solidFill>
                <a:schemeClr val="accent6">
                  <a:lumMod val="40000"/>
                  <a:lumOff val="60000"/>
                </a:schemeClr>
              </a:solidFill>
              <a:latin typeface="Algerian" panose="04020705040A02060702" pitchFamily="82" charset="0"/>
            </a:rPr>
            <a:t>HELEN'S</a:t>
          </a:r>
          <a:r>
            <a:rPr lang="en-US" sz="4400" baseline="0">
              <a:solidFill>
                <a:schemeClr val="accent6">
                  <a:lumMod val="40000"/>
                  <a:lumOff val="60000"/>
                </a:schemeClr>
              </a:solidFill>
              <a:latin typeface="Algerian" panose="04020705040A02060702" pitchFamily="82" charset="0"/>
            </a:rPr>
            <a:t> CAR SALES DASHBOARD</a:t>
          </a:r>
          <a:endParaRPr lang="en-US" sz="4400">
            <a:solidFill>
              <a:schemeClr val="accent6">
                <a:lumMod val="40000"/>
                <a:lumOff val="60000"/>
              </a:schemeClr>
            </a:solidFill>
            <a:latin typeface="Algerian" panose="04020705040A02060702" pitchFamily="82" charset="0"/>
          </a:endParaRPr>
        </a:p>
      </xdr:txBody>
    </xdr:sp>
    <xdr:clientData/>
  </xdr:twoCellAnchor>
  <xdr:twoCellAnchor>
    <xdr:from>
      <xdr:col>5</xdr:col>
      <xdr:colOff>593127</xdr:colOff>
      <xdr:row>40</xdr:row>
      <xdr:rowOff>70555</xdr:rowOff>
    </xdr:from>
    <xdr:to>
      <xdr:col>11</xdr:col>
      <xdr:colOff>366889</xdr:colOff>
      <xdr:row>55</xdr:row>
      <xdr:rowOff>155223</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451555</xdr:colOff>
      <xdr:row>23</xdr:row>
      <xdr:rowOff>169334</xdr:rowOff>
    </xdr:from>
    <xdr:to>
      <xdr:col>24</xdr:col>
      <xdr:colOff>423334</xdr:colOff>
      <xdr:row>55</xdr:row>
      <xdr:rowOff>98778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141111</xdr:colOff>
      <xdr:row>26</xdr:row>
      <xdr:rowOff>98777</xdr:rowOff>
    </xdr:from>
    <xdr:to>
      <xdr:col>11</xdr:col>
      <xdr:colOff>522111</xdr:colOff>
      <xdr:row>39</xdr:row>
      <xdr:rowOff>169333</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522112</xdr:colOff>
      <xdr:row>24</xdr:row>
      <xdr:rowOff>0</xdr:rowOff>
    </xdr:from>
    <xdr:to>
      <xdr:col>24</xdr:col>
      <xdr:colOff>423334</xdr:colOff>
      <xdr:row>26</xdr:row>
      <xdr:rowOff>28222</xdr:rowOff>
    </xdr:to>
    <xdr:sp macro="" textlink="">
      <xdr:nvSpPr>
        <xdr:cNvPr id="52" name="Rounded Rectangle 51"/>
        <xdr:cNvSpPr/>
      </xdr:nvSpPr>
      <xdr:spPr>
        <a:xfrm>
          <a:off x="12022668" y="4402667"/>
          <a:ext cx="2935110" cy="395111"/>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40000"/>
                  <a:lumOff val="60000"/>
                </a:schemeClr>
              </a:solidFill>
              <a:latin typeface="Algerian" panose="04020705040A02060702" pitchFamily="82" charset="0"/>
            </a:rPr>
            <a:t>Make vs Mileage</a:t>
          </a:r>
        </a:p>
      </xdr:txBody>
    </xdr:sp>
    <xdr:clientData/>
  </xdr:twoCellAnchor>
  <xdr:twoCellAnchor>
    <xdr:from>
      <xdr:col>6</xdr:col>
      <xdr:colOff>14112</xdr:colOff>
      <xdr:row>41</xdr:row>
      <xdr:rowOff>84667</xdr:rowOff>
    </xdr:from>
    <xdr:to>
      <xdr:col>11</xdr:col>
      <xdr:colOff>550334</xdr:colOff>
      <xdr:row>46</xdr:row>
      <xdr:rowOff>0</xdr:rowOff>
    </xdr:to>
    <xdr:sp macro="" textlink="">
      <xdr:nvSpPr>
        <xdr:cNvPr id="54" name="Rounded Rectangle 53"/>
        <xdr:cNvSpPr/>
      </xdr:nvSpPr>
      <xdr:spPr>
        <a:xfrm>
          <a:off x="3626556" y="7605889"/>
          <a:ext cx="3570111" cy="832555"/>
        </a:xfrm>
        <a:prstGeom prst="roundRect">
          <a:avLst>
            <a:gd name="adj" fmla="val 22973"/>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40000"/>
                  <a:lumOff val="60000"/>
                </a:schemeClr>
              </a:solidFill>
              <a:latin typeface="Algerian" panose="04020705040A02060702" pitchFamily="82" charset="0"/>
            </a:rPr>
            <a:t>Make</a:t>
          </a:r>
          <a:r>
            <a:rPr lang="en-US" sz="1800">
              <a:solidFill>
                <a:schemeClr val="accent6">
                  <a:lumMod val="40000"/>
                  <a:lumOff val="60000"/>
                </a:schemeClr>
              </a:solidFill>
              <a:latin typeface="Algerian" panose="04020705040A02060702" pitchFamily="82" charset="0"/>
            </a:rPr>
            <a:t> </a:t>
          </a:r>
          <a:r>
            <a:rPr lang="en-US" sz="1800" b="1">
              <a:solidFill>
                <a:schemeClr val="accent6">
                  <a:lumMod val="40000"/>
                  <a:lumOff val="60000"/>
                </a:schemeClr>
              </a:solidFill>
              <a:latin typeface="Algerian" panose="04020705040A02060702" pitchFamily="82" charset="0"/>
            </a:rPr>
            <a:t>vs Price</a:t>
          </a:r>
        </a:p>
      </xdr:txBody>
    </xdr:sp>
    <xdr:clientData/>
  </xdr:twoCellAnchor>
  <xdr:twoCellAnchor>
    <xdr:from>
      <xdr:col>12</xdr:col>
      <xdr:colOff>352777</xdr:colOff>
      <xdr:row>39</xdr:row>
      <xdr:rowOff>56445</xdr:rowOff>
    </xdr:from>
    <xdr:to>
      <xdr:col>19</xdr:col>
      <xdr:colOff>141111</xdr:colOff>
      <xdr:row>57</xdr:row>
      <xdr:rowOff>70556</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169333</xdr:colOff>
      <xdr:row>19</xdr:row>
      <xdr:rowOff>70555</xdr:rowOff>
    </xdr:from>
    <xdr:to>
      <xdr:col>5</xdr:col>
      <xdr:colOff>338665</xdr:colOff>
      <xdr:row>28</xdr:row>
      <xdr:rowOff>28222</xdr:rowOff>
    </xdr:to>
    <mc:AlternateContent xmlns:mc="http://schemas.openxmlformats.org/markup-compatibility/2006" xmlns:a14="http://schemas.microsoft.com/office/drawing/2010/main">
      <mc:Choice Requires="a14">
        <xdr:graphicFrame macro="">
          <xdr:nvGraphicFramePr>
            <xdr:cNvPr id="33" name="Make 5"/>
            <xdr:cNvGraphicFramePr/>
          </xdr:nvGraphicFramePr>
          <xdr:xfrm>
            <a:off x="0" y="0"/>
            <a:ext cx="0" cy="0"/>
          </xdr:xfrm>
          <a:graphic>
            <a:graphicData uri="http://schemas.microsoft.com/office/drawing/2010/slicer">
              <sle:slicer xmlns:sle="http://schemas.microsoft.com/office/drawing/2010/slicer" name="Make 5"/>
            </a:graphicData>
          </a:graphic>
        </xdr:graphicFrame>
      </mc:Choice>
      <mc:Fallback xmlns="">
        <xdr:sp macro="" textlink="">
          <xdr:nvSpPr>
            <xdr:cNvPr id="0" name=""/>
            <xdr:cNvSpPr>
              <a:spLocks noTextEdit="1"/>
            </xdr:cNvSpPr>
          </xdr:nvSpPr>
          <xdr:spPr>
            <a:xfrm>
              <a:off x="776111" y="3555999"/>
              <a:ext cx="2568221" cy="1608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155222</xdr:colOff>
      <xdr:row>28</xdr:row>
      <xdr:rowOff>169334</xdr:rowOff>
    </xdr:from>
    <xdr:to>
      <xdr:col>5</xdr:col>
      <xdr:colOff>282222</xdr:colOff>
      <xdr:row>41</xdr:row>
      <xdr:rowOff>56445</xdr:rowOff>
    </xdr:to>
    <mc:AlternateContent xmlns:mc="http://schemas.openxmlformats.org/markup-compatibility/2006" xmlns:a14="http://schemas.microsoft.com/office/drawing/2010/main">
      <mc:Choice Requires="a14">
        <xdr:graphicFrame macro="">
          <xdr:nvGraphicFramePr>
            <xdr:cNvPr id="34" name="Model 5"/>
            <xdr:cNvGraphicFramePr/>
          </xdr:nvGraphicFramePr>
          <xdr:xfrm>
            <a:off x="0" y="0"/>
            <a:ext cx="0" cy="0"/>
          </xdr:xfrm>
          <a:graphic>
            <a:graphicData uri="http://schemas.microsoft.com/office/drawing/2010/slicer">
              <sle:slicer xmlns:sle="http://schemas.microsoft.com/office/drawing/2010/slicer" name="Model 5"/>
            </a:graphicData>
          </a:graphic>
        </xdr:graphicFrame>
      </mc:Choice>
      <mc:Fallback xmlns="">
        <xdr:sp macro="" textlink="">
          <xdr:nvSpPr>
            <xdr:cNvPr id="0" name=""/>
            <xdr:cNvSpPr>
              <a:spLocks noTextEdit="1"/>
            </xdr:cNvSpPr>
          </xdr:nvSpPr>
          <xdr:spPr>
            <a:xfrm>
              <a:off x="762000" y="5305778"/>
              <a:ext cx="2525889" cy="2271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155222</xdr:colOff>
      <xdr:row>41</xdr:row>
      <xdr:rowOff>141111</xdr:rowOff>
    </xdr:from>
    <xdr:to>
      <xdr:col>5</xdr:col>
      <xdr:colOff>352777</xdr:colOff>
      <xdr:row>54</xdr:row>
      <xdr:rowOff>98779</xdr:rowOff>
    </xdr:to>
    <mc:AlternateContent xmlns:mc="http://schemas.openxmlformats.org/markup-compatibility/2006" xmlns:a14="http://schemas.microsoft.com/office/drawing/2010/main">
      <mc:Choice Requires="a14">
        <xdr:graphicFrame macro="">
          <xdr:nvGraphicFramePr>
            <xdr:cNvPr id="35" name="Color 5"/>
            <xdr:cNvGraphicFramePr/>
          </xdr:nvGraphicFramePr>
          <xdr:xfrm>
            <a:off x="0" y="0"/>
            <a:ext cx="0" cy="0"/>
          </xdr:xfrm>
          <a:graphic>
            <a:graphicData uri="http://schemas.microsoft.com/office/drawing/2010/slicer">
              <sle:slicer xmlns:sle="http://schemas.microsoft.com/office/drawing/2010/slicer" name="Color 5"/>
            </a:graphicData>
          </a:graphic>
        </xdr:graphicFrame>
      </mc:Choice>
      <mc:Fallback xmlns="">
        <xdr:sp macro="" textlink="">
          <xdr:nvSpPr>
            <xdr:cNvPr id="0" name=""/>
            <xdr:cNvSpPr>
              <a:spLocks noTextEdit="1"/>
            </xdr:cNvSpPr>
          </xdr:nvSpPr>
          <xdr:spPr>
            <a:xfrm>
              <a:off x="762000" y="7662333"/>
              <a:ext cx="2596444" cy="2342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381000</xdr:colOff>
      <xdr:row>23</xdr:row>
      <xdr:rowOff>169334</xdr:rowOff>
    </xdr:from>
    <xdr:to>
      <xdr:col>19</xdr:col>
      <xdr:colOff>155222</xdr:colOff>
      <xdr:row>40</xdr:row>
      <xdr:rowOff>42332</xdr:rowOff>
    </xdr:to>
    <xdr:sp macro="" textlink="">
      <xdr:nvSpPr>
        <xdr:cNvPr id="10" name="Rounded Rectangle 9"/>
        <xdr:cNvSpPr/>
      </xdr:nvSpPr>
      <xdr:spPr>
        <a:xfrm>
          <a:off x="7634111" y="4388556"/>
          <a:ext cx="4021667" cy="2991554"/>
        </a:xfrm>
        <a:prstGeom prst="roundRect">
          <a:avLst>
            <a:gd name="adj" fmla="val 9524"/>
          </a:avLst>
        </a:prstGeom>
        <a:solidFill>
          <a:schemeClr val="accent6">
            <a:lumMod val="50000"/>
          </a:schemeClr>
        </a:solidFill>
        <a:ln>
          <a:solidFill>
            <a:sysClr val="windowText" lastClr="000000"/>
          </a:solidFill>
        </a:ln>
        <a:effectLst>
          <a:outerShdw dist="50800" dir="5400000" sx="78000" sy="78000" algn="ctr" rotWithShape="0">
            <a:srgbClr val="000000">
              <a:alpha val="7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493889</xdr:colOff>
      <xdr:row>27</xdr:row>
      <xdr:rowOff>56444</xdr:rowOff>
    </xdr:from>
    <xdr:to>
      <xdr:col>20</xdr:col>
      <xdr:colOff>28224</xdr:colOff>
      <xdr:row>43</xdr:row>
      <xdr:rowOff>42331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239890</xdr:colOff>
      <xdr:row>24</xdr:row>
      <xdr:rowOff>56444</xdr:rowOff>
    </xdr:from>
    <xdr:to>
      <xdr:col>19</xdr:col>
      <xdr:colOff>112889</xdr:colOff>
      <xdr:row>26</xdr:row>
      <xdr:rowOff>169333</xdr:rowOff>
    </xdr:to>
    <xdr:sp macro="" textlink="">
      <xdr:nvSpPr>
        <xdr:cNvPr id="11" name="Rectangle 10"/>
        <xdr:cNvSpPr/>
      </xdr:nvSpPr>
      <xdr:spPr>
        <a:xfrm>
          <a:off x="8099779" y="4459111"/>
          <a:ext cx="3513666" cy="479778"/>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40000"/>
                  <a:lumOff val="60000"/>
                </a:schemeClr>
              </a:solidFill>
              <a:latin typeface="Algerian" panose="04020705040A02060702" pitchFamily="82" charset="0"/>
            </a:rPr>
            <a:t>COLOUR</a:t>
          </a:r>
          <a:r>
            <a:rPr lang="en-US" sz="1800" b="1" baseline="0">
              <a:solidFill>
                <a:schemeClr val="accent6">
                  <a:lumMod val="40000"/>
                  <a:lumOff val="60000"/>
                </a:schemeClr>
              </a:solidFill>
              <a:latin typeface="Algerian" panose="04020705040A02060702" pitchFamily="82" charset="0"/>
            </a:rPr>
            <a:t> VS MILEAGE</a:t>
          </a:r>
          <a:endParaRPr lang="en-US" sz="1800" b="1">
            <a:solidFill>
              <a:schemeClr val="accent6">
                <a:lumMod val="40000"/>
                <a:lumOff val="60000"/>
              </a:schemeClr>
            </a:solidFill>
            <a:latin typeface="Algerian" panose="04020705040A02060702" pitchFamily="82" charset="0"/>
          </a:endParaRPr>
        </a:p>
      </xdr:txBody>
    </xdr:sp>
    <xdr:clientData/>
  </xdr:twoCellAnchor>
  <xdr:twoCellAnchor>
    <xdr:from>
      <xdr:col>6</xdr:col>
      <xdr:colOff>155223</xdr:colOff>
      <xdr:row>18</xdr:row>
      <xdr:rowOff>98777</xdr:rowOff>
    </xdr:from>
    <xdr:to>
      <xdr:col>11</xdr:col>
      <xdr:colOff>451556</xdr:colOff>
      <xdr:row>23</xdr:row>
      <xdr:rowOff>98778</xdr:rowOff>
    </xdr:to>
    <xdr:sp macro="" textlink="'model vs cost'!K8">
      <xdr:nvSpPr>
        <xdr:cNvPr id="13" name="Rounded Rectangle 12"/>
        <xdr:cNvSpPr/>
      </xdr:nvSpPr>
      <xdr:spPr>
        <a:xfrm>
          <a:off x="3767667" y="3400777"/>
          <a:ext cx="3330222" cy="917223"/>
        </a:xfrm>
        <a:prstGeom prst="roundRect">
          <a:avLst>
            <a:gd name="adj" fmla="val 15334"/>
          </a:avLst>
        </a:prstGeom>
        <a:solidFill>
          <a:schemeClr val="accent6">
            <a:lumMod val="5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lvl="0" indent="0" algn="ctr"/>
          <a:fld id="{3416620B-5EAD-4441-B6F5-901B8BDD763A}" type="TxLink">
            <a:rPr lang="en-US" sz="3600" b="1" i="0" u="none" strike="noStrike">
              <a:solidFill>
                <a:schemeClr val="accent6">
                  <a:lumMod val="40000"/>
                  <a:lumOff val="60000"/>
                </a:schemeClr>
              </a:solidFill>
              <a:latin typeface="Algerian" panose="04020705040A02060702" pitchFamily="82" charset="0"/>
              <a:ea typeface="+mn-ea"/>
              <a:cs typeface="Calibri"/>
            </a:rPr>
            <a:pPr marL="0" lvl="0" indent="0" algn="ctr"/>
            <a:t>$66,150</a:t>
          </a:fld>
          <a:endParaRPr lang="en-US" sz="3600" b="1">
            <a:solidFill>
              <a:schemeClr val="accent6">
                <a:lumMod val="40000"/>
                <a:lumOff val="60000"/>
              </a:schemeClr>
            </a:solidFill>
            <a:latin typeface="Algerian" panose="04020705040A02060702" pitchFamily="82" charset="0"/>
            <a:ea typeface="+mn-ea"/>
            <a:cs typeface="+mn-cs"/>
          </a:endParaRPr>
        </a:p>
      </xdr:txBody>
    </xdr:sp>
    <xdr:clientData/>
  </xdr:twoCellAnchor>
  <xdr:twoCellAnchor>
    <xdr:from>
      <xdr:col>7</xdr:col>
      <xdr:colOff>268111</xdr:colOff>
      <xdr:row>18</xdr:row>
      <xdr:rowOff>28223</xdr:rowOff>
    </xdr:from>
    <xdr:to>
      <xdr:col>11</xdr:col>
      <xdr:colOff>84667</xdr:colOff>
      <xdr:row>21</xdr:row>
      <xdr:rowOff>14112</xdr:rowOff>
    </xdr:to>
    <xdr:sp macro="" textlink="">
      <xdr:nvSpPr>
        <xdr:cNvPr id="15" name="Rounded Rectangle 14"/>
        <xdr:cNvSpPr/>
      </xdr:nvSpPr>
      <xdr:spPr>
        <a:xfrm>
          <a:off x="4487333" y="3330223"/>
          <a:ext cx="2243667" cy="53622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accent6">
                  <a:lumMod val="40000"/>
                  <a:lumOff val="60000"/>
                </a:schemeClr>
              </a:solidFill>
              <a:latin typeface="Algerian" panose="04020705040A02060702" pitchFamily="82" charset="0"/>
            </a:rPr>
            <a:t>SUM OF C0ST</a:t>
          </a:r>
        </a:p>
      </xdr:txBody>
    </xdr:sp>
    <xdr:clientData/>
  </xdr:twoCellAnchor>
  <xdr:twoCellAnchor>
    <xdr:from>
      <xdr:col>13</xdr:col>
      <xdr:colOff>493889</xdr:colOff>
      <xdr:row>18</xdr:row>
      <xdr:rowOff>14111</xdr:rowOff>
    </xdr:from>
    <xdr:to>
      <xdr:col>17</xdr:col>
      <xdr:colOff>564443</xdr:colOff>
      <xdr:row>21</xdr:row>
      <xdr:rowOff>141112</xdr:rowOff>
    </xdr:to>
    <xdr:sp macro="" textlink="">
      <xdr:nvSpPr>
        <xdr:cNvPr id="21" name="Rounded Rectangle 20"/>
        <xdr:cNvSpPr/>
      </xdr:nvSpPr>
      <xdr:spPr>
        <a:xfrm>
          <a:off x="8353778" y="3316111"/>
          <a:ext cx="2497665" cy="67733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40000"/>
                  <a:lumOff val="60000"/>
                </a:schemeClr>
              </a:solidFill>
              <a:latin typeface="Algerian" panose="04020705040A02060702" pitchFamily="82" charset="0"/>
            </a:rPr>
            <a:t>SUM</a:t>
          </a:r>
          <a:r>
            <a:rPr lang="en-US" sz="2000" b="1">
              <a:solidFill>
                <a:schemeClr val="accent6">
                  <a:lumMod val="40000"/>
                  <a:lumOff val="60000"/>
                </a:schemeClr>
              </a:solidFill>
              <a:latin typeface="Algerian" panose="04020705040A02060702" pitchFamily="82" charset="0"/>
            </a:rPr>
            <a:t> OF PRICE</a:t>
          </a:r>
        </a:p>
      </xdr:txBody>
    </xdr:sp>
    <xdr:clientData/>
  </xdr:twoCellAnchor>
  <xdr:twoCellAnchor>
    <xdr:from>
      <xdr:col>20</xdr:col>
      <xdr:colOff>141110</xdr:colOff>
      <xdr:row>18</xdr:row>
      <xdr:rowOff>1</xdr:rowOff>
    </xdr:from>
    <xdr:to>
      <xdr:col>23</xdr:col>
      <xdr:colOff>550333</xdr:colOff>
      <xdr:row>21</xdr:row>
      <xdr:rowOff>0</xdr:rowOff>
    </xdr:to>
    <xdr:sp macro="" textlink="">
      <xdr:nvSpPr>
        <xdr:cNvPr id="22" name="Rounded Rectangle 21"/>
        <xdr:cNvSpPr/>
      </xdr:nvSpPr>
      <xdr:spPr>
        <a:xfrm>
          <a:off x="12248443" y="3302001"/>
          <a:ext cx="2229557" cy="55033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40000"/>
                  <a:lumOff val="60000"/>
                </a:schemeClr>
              </a:solidFill>
              <a:latin typeface="Algerian" panose="04020705040A02060702" pitchFamily="82" charset="0"/>
            </a:rPr>
            <a:t>SUM OF MILEAGE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571499</xdr:colOff>
      <xdr:row>2</xdr:row>
      <xdr:rowOff>95250</xdr:rowOff>
    </xdr:from>
    <xdr:to>
      <xdr:col>8</xdr:col>
      <xdr:colOff>469900</xdr:colOff>
      <xdr:row>17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63500</xdr:colOff>
      <xdr:row>2</xdr:row>
      <xdr:rowOff>139700</xdr:rowOff>
    </xdr:from>
    <xdr:to>
      <xdr:col>8</xdr:col>
      <xdr:colOff>63500</xdr:colOff>
      <xdr:row>16</xdr:row>
      <xdr:rowOff>85725</xdr:rowOff>
    </xdr:to>
    <mc:AlternateContent xmlns:mc="http://schemas.openxmlformats.org/markup-compatibility/2006" xmlns:a14="http://schemas.microsoft.com/office/drawing/2010/main">
      <mc:Choice Requires="a14">
        <xdr:graphicFrame macro="">
          <xdr:nvGraphicFramePr>
            <xdr:cNvPr id="9" name="Make"/>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3600450" y="5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5</xdr:row>
      <xdr:rowOff>63500</xdr:rowOff>
    </xdr:from>
    <xdr:to>
      <xdr:col>8</xdr:col>
      <xdr:colOff>539750</xdr:colOff>
      <xdr:row>19</xdr:row>
      <xdr:rowOff>9525</xdr:rowOff>
    </xdr:to>
    <mc:AlternateContent xmlns:mc="http://schemas.openxmlformats.org/markup-compatibility/2006" xmlns:a14="http://schemas.microsoft.com/office/drawing/2010/main">
      <mc:Choice Requires="a14">
        <xdr:graphicFrame macro="">
          <xdr:nvGraphicFramePr>
            <xdr:cNvPr id="10" name="Model"/>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4076700" y="984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406400</xdr:colOff>
      <xdr:row>7</xdr:row>
      <xdr:rowOff>171450</xdr:rowOff>
    </xdr:from>
    <xdr:to>
      <xdr:col>9</xdr:col>
      <xdr:colOff>406400</xdr:colOff>
      <xdr:row>21</xdr:row>
      <xdr:rowOff>117475</xdr:rowOff>
    </xdr:to>
    <mc:AlternateContent xmlns:mc="http://schemas.openxmlformats.org/markup-compatibility/2006" xmlns:a14="http://schemas.microsoft.com/office/drawing/2010/main">
      <mc:Choice Requires="a14">
        <xdr:graphicFrame macro="">
          <xdr:nvGraphicFramePr>
            <xdr:cNvPr id="11" name="Colo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4552950" y="146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63500</xdr:colOff>
      <xdr:row>2</xdr:row>
      <xdr:rowOff>139700</xdr:rowOff>
    </xdr:from>
    <xdr:to>
      <xdr:col>8</xdr:col>
      <xdr:colOff>63500</xdr:colOff>
      <xdr:row>16</xdr:row>
      <xdr:rowOff>85725</xdr:rowOff>
    </xdr:to>
    <mc:AlternateContent xmlns:mc="http://schemas.openxmlformats.org/markup-compatibility/2006" xmlns:a14="http://schemas.microsoft.com/office/drawing/2010/main">
      <mc:Choice Requires="a14">
        <xdr:graphicFrame macro="">
          <xdr:nvGraphicFramePr>
            <xdr:cNvPr id="12" name="Make 3"/>
            <xdr:cNvGraphicFramePr/>
          </xdr:nvGraphicFramePr>
          <xdr:xfrm>
            <a:off x="0" y="0"/>
            <a:ext cx="0" cy="0"/>
          </xdr:xfrm>
          <a:graphic>
            <a:graphicData uri="http://schemas.microsoft.com/office/drawing/2010/slicer">
              <sle:slicer xmlns:sle="http://schemas.microsoft.com/office/drawing/2010/slicer" name="Make 3"/>
            </a:graphicData>
          </a:graphic>
        </xdr:graphicFrame>
      </mc:Choice>
      <mc:Fallback xmlns="">
        <xdr:sp macro="" textlink="">
          <xdr:nvSpPr>
            <xdr:cNvPr id="0" name=""/>
            <xdr:cNvSpPr>
              <a:spLocks noTextEdit="1"/>
            </xdr:cNvSpPr>
          </xdr:nvSpPr>
          <xdr:spPr>
            <a:xfrm>
              <a:off x="3600450" y="5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5</xdr:row>
      <xdr:rowOff>63500</xdr:rowOff>
    </xdr:from>
    <xdr:to>
      <xdr:col>8</xdr:col>
      <xdr:colOff>539750</xdr:colOff>
      <xdr:row>19</xdr:row>
      <xdr:rowOff>9525</xdr:rowOff>
    </xdr:to>
    <mc:AlternateContent xmlns:mc="http://schemas.openxmlformats.org/markup-compatibility/2006" xmlns:a14="http://schemas.microsoft.com/office/drawing/2010/main">
      <mc:Choice Requires="a14">
        <xdr:graphicFrame macro="">
          <xdr:nvGraphicFramePr>
            <xdr:cNvPr id="13" name="Model 2"/>
            <xdr:cNvGraphicFramePr/>
          </xdr:nvGraphicFramePr>
          <xdr:xfrm>
            <a:off x="0" y="0"/>
            <a:ext cx="0" cy="0"/>
          </xdr:xfrm>
          <a:graphic>
            <a:graphicData uri="http://schemas.microsoft.com/office/drawing/2010/slicer">
              <sle:slicer xmlns:sle="http://schemas.microsoft.com/office/drawing/2010/slicer" name="Model 2"/>
            </a:graphicData>
          </a:graphic>
        </xdr:graphicFrame>
      </mc:Choice>
      <mc:Fallback xmlns="">
        <xdr:sp macro="" textlink="">
          <xdr:nvSpPr>
            <xdr:cNvPr id="0" name=""/>
            <xdr:cNvSpPr>
              <a:spLocks noTextEdit="1"/>
            </xdr:cNvSpPr>
          </xdr:nvSpPr>
          <xdr:spPr>
            <a:xfrm>
              <a:off x="4076700" y="984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406400</xdr:colOff>
      <xdr:row>7</xdr:row>
      <xdr:rowOff>171450</xdr:rowOff>
    </xdr:from>
    <xdr:to>
      <xdr:col>9</xdr:col>
      <xdr:colOff>406400</xdr:colOff>
      <xdr:row>21</xdr:row>
      <xdr:rowOff>117475</xdr:rowOff>
    </xdr:to>
    <mc:AlternateContent xmlns:mc="http://schemas.openxmlformats.org/markup-compatibility/2006" xmlns:a14="http://schemas.microsoft.com/office/drawing/2010/main">
      <mc:Choice Requires="a14">
        <xdr:graphicFrame macro="">
          <xdr:nvGraphicFramePr>
            <xdr:cNvPr id="14" name="Color 2"/>
            <xdr:cNvGraphicFramePr/>
          </xdr:nvGraphicFramePr>
          <xdr:xfrm>
            <a:off x="0" y="0"/>
            <a:ext cx="0" cy="0"/>
          </xdr:xfrm>
          <a:graphic>
            <a:graphicData uri="http://schemas.microsoft.com/office/drawing/2010/slicer">
              <sle:slicer xmlns:sle="http://schemas.microsoft.com/office/drawing/2010/slicer" name="Color 2"/>
            </a:graphicData>
          </a:graphic>
        </xdr:graphicFrame>
      </mc:Choice>
      <mc:Fallback xmlns="">
        <xdr:sp macro="" textlink="">
          <xdr:nvSpPr>
            <xdr:cNvPr id="0" name=""/>
            <xdr:cNvSpPr>
              <a:spLocks noTextEdit="1"/>
            </xdr:cNvSpPr>
          </xdr:nvSpPr>
          <xdr:spPr>
            <a:xfrm>
              <a:off x="4552950" y="146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63500</xdr:colOff>
      <xdr:row>2</xdr:row>
      <xdr:rowOff>139700</xdr:rowOff>
    </xdr:from>
    <xdr:to>
      <xdr:col>8</xdr:col>
      <xdr:colOff>63500</xdr:colOff>
      <xdr:row>16</xdr:row>
      <xdr:rowOff>85725</xdr:rowOff>
    </xdr:to>
    <mc:AlternateContent xmlns:mc="http://schemas.openxmlformats.org/markup-compatibility/2006" xmlns:a14="http://schemas.microsoft.com/office/drawing/2010/main">
      <mc:Choice Requires="a14">
        <xdr:graphicFrame macro="">
          <xdr:nvGraphicFramePr>
            <xdr:cNvPr id="15" name="Make 4"/>
            <xdr:cNvGraphicFramePr/>
          </xdr:nvGraphicFramePr>
          <xdr:xfrm>
            <a:off x="0" y="0"/>
            <a:ext cx="0" cy="0"/>
          </xdr:xfrm>
          <a:graphic>
            <a:graphicData uri="http://schemas.microsoft.com/office/drawing/2010/slicer">
              <sle:slicer xmlns:sle="http://schemas.microsoft.com/office/drawing/2010/slicer" name="Make 4"/>
            </a:graphicData>
          </a:graphic>
        </xdr:graphicFrame>
      </mc:Choice>
      <mc:Fallback xmlns="">
        <xdr:sp macro="" textlink="">
          <xdr:nvSpPr>
            <xdr:cNvPr id="0" name=""/>
            <xdr:cNvSpPr>
              <a:spLocks noTextEdit="1"/>
            </xdr:cNvSpPr>
          </xdr:nvSpPr>
          <xdr:spPr>
            <a:xfrm>
              <a:off x="3600450" y="5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5</xdr:row>
      <xdr:rowOff>63500</xdr:rowOff>
    </xdr:from>
    <xdr:to>
      <xdr:col>8</xdr:col>
      <xdr:colOff>539750</xdr:colOff>
      <xdr:row>19</xdr:row>
      <xdr:rowOff>9525</xdr:rowOff>
    </xdr:to>
    <mc:AlternateContent xmlns:mc="http://schemas.openxmlformats.org/markup-compatibility/2006" xmlns:a14="http://schemas.microsoft.com/office/drawing/2010/main">
      <mc:Choice Requires="a14">
        <xdr:graphicFrame macro="">
          <xdr:nvGraphicFramePr>
            <xdr:cNvPr id="16" name="Model 3"/>
            <xdr:cNvGraphicFramePr/>
          </xdr:nvGraphicFramePr>
          <xdr:xfrm>
            <a:off x="0" y="0"/>
            <a:ext cx="0" cy="0"/>
          </xdr:xfrm>
          <a:graphic>
            <a:graphicData uri="http://schemas.microsoft.com/office/drawing/2010/slicer">
              <sle:slicer xmlns:sle="http://schemas.microsoft.com/office/drawing/2010/slicer" name="Model 3"/>
            </a:graphicData>
          </a:graphic>
        </xdr:graphicFrame>
      </mc:Choice>
      <mc:Fallback xmlns="">
        <xdr:sp macro="" textlink="">
          <xdr:nvSpPr>
            <xdr:cNvPr id="0" name=""/>
            <xdr:cNvSpPr>
              <a:spLocks noTextEdit="1"/>
            </xdr:cNvSpPr>
          </xdr:nvSpPr>
          <xdr:spPr>
            <a:xfrm>
              <a:off x="4076700" y="984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406400</xdr:colOff>
      <xdr:row>7</xdr:row>
      <xdr:rowOff>171450</xdr:rowOff>
    </xdr:from>
    <xdr:to>
      <xdr:col>9</xdr:col>
      <xdr:colOff>406400</xdr:colOff>
      <xdr:row>21</xdr:row>
      <xdr:rowOff>117475</xdr:rowOff>
    </xdr:to>
    <mc:AlternateContent xmlns:mc="http://schemas.openxmlformats.org/markup-compatibility/2006" xmlns:a14="http://schemas.microsoft.com/office/drawing/2010/main">
      <mc:Choice Requires="a14">
        <xdr:graphicFrame macro="">
          <xdr:nvGraphicFramePr>
            <xdr:cNvPr id="17" name="Color 3"/>
            <xdr:cNvGraphicFramePr/>
          </xdr:nvGraphicFramePr>
          <xdr:xfrm>
            <a:off x="0" y="0"/>
            <a:ext cx="0" cy="0"/>
          </xdr:xfrm>
          <a:graphic>
            <a:graphicData uri="http://schemas.microsoft.com/office/drawing/2010/slicer">
              <sle:slicer xmlns:sle="http://schemas.microsoft.com/office/drawing/2010/slicer" name="Color 3"/>
            </a:graphicData>
          </a:graphic>
        </xdr:graphicFrame>
      </mc:Choice>
      <mc:Fallback xmlns="">
        <xdr:sp macro="" textlink="">
          <xdr:nvSpPr>
            <xdr:cNvPr id="0" name=""/>
            <xdr:cNvSpPr>
              <a:spLocks noTextEdit="1"/>
            </xdr:cNvSpPr>
          </xdr:nvSpPr>
          <xdr:spPr>
            <a:xfrm>
              <a:off x="4552950" y="146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266699</xdr:colOff>
      <xdr:row>6</xdr:row>
      <xdr:rowOff>6350</xdr:rowOff>
    </xdr:from>
    <xdr:to>
      <xdr:col>8</xdr:col>
      <xdr:colOff>504824</xdr:colOff>
      <xdr:row>17</xdr:row>
      <xdr:rowOff>82550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473075</xdr:colOff>
      <xdr:row>3</xdr:row>
      <xdr:rowOff>146050</xdr:rowOff>
    </xdr:from>
    <xdr:to>
      <xdr:col>11</xdr:col>
      <xdr:colOff>168275</xdr:colOff>
      <xdr:row>18</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602.752950925926" createdVersion="6" refreshedVersion="6" minRefreshableVersion="3" recordCount="24">
  <cacheSource type="worksheet">
    <worksheetSource name="Table3"/>
  </cacheSource>
  <cacheFields count="6">
    <cacheField name="Make" numFmtId="0">
      <sharedItems count="6">
        <s v="Honda"/>
        <s v="Toyota"/>
        <s v="Nissan"/>
        <s v="Ford"/>
        <s v="Chevrolet"/>
        <s v="Dodge"/>
      </sharedItems>
    </cacheField>
    <cacheField name="Model" numFmtId="0">
      <sharedItems count="15">
        <s v="Accord"/>
        <s v="Camry"/>
        <s v="Altima"/>
        <s v="Corolla"/>
        <s v="Civic"/>
        <s v="F-150"/>
        <s v="Silverado"/>
        <s v="Impala"/>
        <s v="Malibu"/>
        <s v="Escape"/>
        <s v="Mustang"/>
        <s v="CRV"/>
        <s v="Maxima"/>
        <s v="Fusion"/>
        <s v="Charger"/>
      </sharedItems>
    </cacheField>
    <cacheField name="Color" numFmtId="0">
      <sharedItems count="6">
        <s v="Red"/>
        <s v="Blue"/>
        <s v="Silver"/>
        <s v="Black"/>
        <s v="Green"/>
        <s v="White"/>
      </sharedItems>
    </cacheField>
    <cacheField name="Mileage" numFmtId="3">
      <sharedItems containsSemiMixedTypes="0" containsString="0" containsNumber="1" containsInteger="1" minValue="34853" maxValue="140811"/>
    </cacheField>
    <cacheField name="Price" numFmtId="6">
      <sharedItems containsSemiMixedTypes="0" containsString="0" containsNumber="1" containsInteger="1" minValue="2000" maxValue="4959" count="24">
        <n v="4000"/>
        <n v="2500"/>
        <n v="2000"/>
        <n v="2198"/>
        <n v="3826"/>
        <n v="2970"/>
        <n v="2224"/>
        <n v="2798"/>
        <n v="2160"/>
        <n v="2723"/>
        <n v="3950"/>
        <n v="4959"/>
        <n v="3791"/>
        <n v="2340"/>
        <n v="3361"/>
        <n v="3196"/>
        <n v="4397"/>
        <n v="3706"/>
        <n v="4745"/>
        <n v="2914"/>
        <n v="2659"/>
        <n v="4349"/>
        <n v="4252"/>
        <n v="2090"/>
      </sharedItems>
    </cacheField>
    <cacheField name="Cost" numFmtId="6">
      <sharedItems containsSemiMixedTypes="0" containsString="0" containsNumber="1" containsInteger="1" minValue="1500" maxValue="4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
  <r>
    <x v="0"/>
    <x v="0"/>
    <x v="0"/>
    <n v="63512"/>
    <x v="0"/>
    <n v="3000"/>
  </r>
  <r>
    <x v="0"/>
    <x v="0"/>
    <x v="1"/>
    <n v="95135"/>
    <x v="1"/>
    <n v="2000"/>
  </r>
  <r>
    <x v="0"/>
    <x v="0"/>
    <x v="2"/>
    <n v="101354"/>
    <x v="2"/>
    <n v="1500"/>
  </r>
  <r>
    <x v="1"/>
    <x v="1"/>
    <x v="3"/>
    <n v="75006"/>
    <x v="3"/>
    <n v="1900"/>
  </r>
  <r>
    <x v="2"/>
    <x v="2"/>
    <x v="4"/>
    <n v="69847"/>
    <x v="4"/>
    <n v="3000"/>
  </r>
  <r>
    <x v="2"/>
    <x v="2"/>
    <x v="4"/>
    <n v="55233"/>
    <x v="5"/>
    <n v="2500"/>
  </r>
  <r>
    <x v="1"/>
    <x v="3"/>
    <x v="3"/>
    <n v="87278"/>
    <x v="6"/>
    <n v="2100"/>
  </r>
  <r>
    <x v="1"/>
    <x v="3"/>
    <x v="1"/>
    <n v="130684"/>
    <x v="7"/>
    <n v="2200"/>
  </r>
  <r>
    <x v="1"/>
    <x v="3"/>
    <x v="2"/>
    <n v="59169"/>
    <x v="8"/>
    <n v="2000"/>
  </r>
  <r>
    <x v="0"/>
    <x v="4"/>
    <x v="5"/>
    <n v="138789"/>
    <x v="9"/>
    <n v="1900"/>
  </r>
  <r>
    <x v="3"/>
    <x v="5"/>
    <x v="3"/>
    <n v="89073"/>
    <x v="10"/>
    <n v="3000"/>
  </r>
  <r>
    <x v="4"/>
    <x v="6"/>
    <x v="4"/>
    <n v="109231"/>
    <x v="11"/>
    <n v="4500"/>
  </r>
  <r>
    <x v="4"/>
    <x v="7"/>
    <x v="2"/>
    <n v="87675"/>
    <x v="12"/>
    <n v="3500"/>
  </r>
  <r>
    <x v="4"/>
    <x v="7"/>
    <x v="5"/>
    <n v="140811"/>
    <x v="13"/>
    <n v="2000"/>
  </r>
  <r>
    <x v="4"/>
    <x v="8"/>
    <x v="5"/>
    <n v="139300"/>
    <x v="14"/>
    <n v="3000"/>
  </r>
  <r>
    <x v="3"/>
    <x v="9"/>
    <x v="3"/>
    <n v="63259"/>
    <x v="15"/>
    <n v="3050"/>
  </r>
  <r>
    <x v="3"/>
    <x v="9"/>
    <x v="0"/>
    <n v="40826"/>
    <x v="16"/>
    <n v="3900"/>
  </r>
  <r>
    <x v="3"/>
    <x v="10"/>
    <x v="2"/>
    <n v="41560"/>
    <x v="17"/>
    <n v="3100"/>
  </r>
  <r>
    <x v="0"/>
    <x v="11"/>
    <x v="1"/>
    <n v="49326"/>
    <x v="18"/>
    <n v="4100"/>
  </r>
  <r>
    <x v="2"/>
    <x v="12"/>
    <x v="0"/>
    <n v="101856"/>
    <x v="19"/>
    <n v="2500"/>
  </r>
  <r>
    <x v="3"/>
    <x v="13"/>
    <x v="3"/>
    <n v="42542"/>
    <x v="20"/>
    <n v="2100"/>
  </r>
  <r>
    <x v="5"/>
    <x v="14"/>
    <x v="2"/>
    <n v="34853"/>
    <x v="21"/>
    <n v="3500"/>
  </r>
  <r>
    <x v="5"/>
    <x v="14"/>
    <x v="2"/>
    <n v="58173"/>
    <x v="22"/>
    <n v="4000"/>
  </r>
  <r>
    <x v="5"/>
    <x v="14"/>
    <x v="3"/>
    <n v="136775"/>
    <x v="23"/>
    <n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ake">
  <location ref="A3:C10" firstHeaderRow="0"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dataField="1" numFmtId="6" showAll="0"/>
    <pivotField dataField="1" numFmtId="6" showAll="0"/>
  </pivotFields>
  <rowFields count="1">
    <field x="0"/>
  </rowFields>
  <rowItems count="7">
    <i>
      <x/>
    </i>
    <i>
      <x v="1"/>
    </i>
    <i>
      <x v="2"/>
    </i>
    <i>
      <x v="3"/>
    </i>
    <i>
      <x v="4"/>
    </i>
    <i>
      <x v="5"/>
    </i>
    <i t="grand">
      <x/>
    </i>
  </rowItems>
  <colFields count="1">
    <field x="-2"/>
  </colFields>
  <colItems count="2">
    <i>
      <x/>
    </i>
    <i i="1">
      <x v="1"/>
    </i>
  </colItems>
  <dataFields count="2">
    <dataField name="Sum of Price" fld="4" baseField="0" baseItem="0"/>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Make">
  <location ref="A3:B10" firstHeaderRow="1" firstDataRow="1" firstDataCol="1"/>
  <pivotFields count="6">
    <pivotField axis="axisRow" showAll="0" sortType="descending">
      <items count="7">
        <item x="4"/>
        <item x="5"/>
        <item x="3"/>
        <item x="0"/>
        <item x="2"/>
        <item x="1"/>
        <item t="default"/>
      </items>
      <autoSortScope>
        <pivotArea dataOnly="0" outline="0" fieldPosition="0">
          <references count="1">
            <reference field="4294967294" count="1" selected="0">
              <x v="0"/>
            </reference>
          </references>
        </pivotArea>
      </autoSortScope>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dataField="1" numFmtId="6" showAll="0"/>
    <pivotField numFmtId="6" showAll="0"/>
  </pivotFields>
  <rowFields count="1">
    <field x="0"/>
  </rowFields>
  <rowItems count="7">
    <i>
      <x v="2"/>
    </i>
    <i>
      <x v="3"/>
    </i>
    <i>
      <x/>
    </i>
    <i>
      <x v="1"/>
    </i>
    <i>
      <x v="4"/>
    </i>
    <i>
      <x v="5"/>
    </i>
    <i t="grand">
      <x/>
    </i>
  </rowItems>
  <colItems count="1">
    <i/>
  </colItems>
  <dataFields count="1">
    <dataField name="Sum of Price" fld="4" baseField="0" baseItem="0" numFmtId="164"/>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chartFormats count="2">
    <chartFormat chart="12" format="8"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7" firstHeaderRow="1"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dataField="1" numFmtId="3" showAll="0"/>
    <pivotField numFmtId="6" showAll="0"/>
    <pivotField numFmtId="6" showAll="0"/>
  </pivotFields>
  <rowFields count="2">
    <field x="0"/>
    <field x="2"/>
  </rowFields>
  <rowItems count="24">
    <i>
      <x/>
    </i>
    <i r="1">
      <x v="2"/>
    </i>
    <i r="1">
      <x v="4"/>
    </i>
    <i r="1">
      <x v="5"/>
    </i>
    <i>
      <x v="1"/>
    </i>
    <i r="1">
      <x/>
    </i>
    <i r="1">
      <x v="4"/>
    </i>
    <i>
      <x v="2"/>
    </i>
    <i r="1">
      <x/>
    </i>
    <i r="1">
      <x v="3"/>
    </i>
    <i r="1">
      <x v="4"/>
    </i>
    <i>
      <x v="3"/>
    </i>
    <i r="1">
      <x v="1"/>
    </i>
    <i r="1">
      <x v="3"/>
    </i>
    <i r="1">
      <x v="4"/>
    </i>
    <i r="1">
      <x v="5"/>
    </i>
    <i>
      <x v="4"/>
    </i>
    <i r="1">
      <x v="2"/>
    </i>
    <i r="1">
      <x v="3"/>
    </i>
    <i>
      <x v="5"/>
    </i>
    <i r="1">
      <x/>
    </i>
    <i r="1">
      <x v="1"/>
    </i>
    <i r="1">
      <x v="4"/>
    </i>
    <i t="grand">
      <x/>
    </i>
  </rowItems>
  <colItems count="1">
    <i/>
  </colItems>
  <dataFields count="1">
    <dataField name="Sum of Mile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5" firstHeaderRow="1" firstDataRow="1" firstDataCol="1"/>
  <pivotFields count="6">
    <pivotField axis="axisRow"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numFmtId="6" showAll="0"/>
    <pivotField dataField="1" numFmtId="6" showAll="0"/>
  </pivotFields>
  <rowFields count="2">
    <field x="0"/>
    <field x="1"/>
  </rowFields>
  <rowItems count="22">
    <i>
      <x/>
    </i>
    <i r="1">
      <x v="10"/>
    </i>
    <i r="1">
      <x v="11"/>
    </i>
    <i r="1">
      <x v="14"/>
    </i>
    <i>
      <x v="1"/>
    </i>
    <i r="1">
      <x v="3"/>
    </i>
    <i>
      <x v="2"/>
    </i>
    <i r="1">
      <x v="7"/>
    </i>
    <i r="1">
      <x v="8"/>
    </i>
    <i r="1">
      <x v="9"/>
    </i>
    <i r="1">
      <x v="13"/>
    </i>
    <i>
      <x v="3"/>
    </i>
    <i r="1">
      <x/>
    </i>
    <i r="1">
      <x v="4"/>
    </i>
    <i r="1">
      <x v="6"/>
    </i>
    <i>
      <x v="4"/>
    </i>
    <i r="1">
      <x v="1"/>
    </i>
    <i r="1">
      <x v="12"/>
    </i>
    <i>
      <x v="5"/>
    </i>
    <i r="1">
      <x v="2"/>
    </i>
    <i r="1">
      <x v="5"/>
    </i>
    <i t="grand">
      <x/>
    </i>
  </rowItems>
  <colItems count="1">
    <i/>
  </colItem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1" firstHeaderRow="1" firstDataRow="1" firstDataCol="1"/>
  <pivotFields count="6">
    <pivotField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dataField="1" numFmtId="3" showAll="0"/>
    <pivotField numFmtId="6" showAll="0"/>
    <pivotField numFmtId="6" showAll="0"/>
  </pivotFields>
  <rowFields count="2">
    <field x="1"/>
    <field x="2"/>
  </rowFields>
  <rowItems count="38">
    <i>
      <x/>
    </i>
    <i r="1">
      <x v="1"/>
    </i>
    <i r="1">
      <x v="3"/>
    </i>
    <i r="1">
      <x v="4"/>
    </i>
    <i>
      <x v="1"/>
    </i>
    <i r="1">
      <x v="2"/>
    </i>
    <i>
      <x v="2"/>
    </i>
    <i r="1">
      <x/>
    </i>
    <i>
      <x v="3"/>
    </i>
    <i r="1">
      <x/>
    </i>
    <i r="1">
      <x v="4"/>
    </i>
    <i>
      <x v="4"/>
    </i>
    <i r="1">
      <x v="5"/>
    </i>
    <i>
      <x v="5"/>
    </i>
    <i r="1">
      <x/>
    </i>
    <i r="1">
      <x v="1"/>
    </i>
    <i r="1">
      <x v="4"/>
    </i>
    <i>
      <x v="6"/>
    </i>
    <i r="1">
      <x v="1"/>
    </i>
    <i>
      <x v="7"/>
    </i>
    <i r="1">
      <x/>
    </i>
    <i r="1">
      <x v="3"/>
    </i>
    <i>
      <x v="8"/>
    </i>
    <i r="1">
      <x/>
    </i>
    <i>
      <x v="9"/>
    </i>
    <i r="1">
      <x/>
    </i>
    <i>
      <x v="10"/>
    </i>
    <i r="1">
      <x v="4"/>
    </i>
    <i r="1">
      <x v="5"/>
    </i>
    <i>
      <x v="11"/>
    </i>
    <i r="1">
      <x v="5"/>
    </i>
    <i>
      <x v="12"/>
    </i>
    <i r="1">
      <x v="3"/>
    </i>
    <i>
      <x v="13"/>
    </i>
    <i r="1">
      <x v="4"/>
    </i>
    <i>
      <x v="14"/>
    </i>
    <i r="1">
      <x v="2"/>
    </i>
    <i t="grand">
      <x/>
    </i>
  </rowItems>
  <colItems count="1">
    <i/>
  </colItems>
  <dataFields count="1">
    <dataField name="Sum of Mile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27" firstHeaderRow="1"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numFmtId="3" showAll="0"/>
    <pivotField numFmtId="6" showAll="0"/>
    <pivotField numFmtId="6" showAll="0"/>
  </pivotFields>
  <rowFields count="2">
    <field x="2"/>
    <field x="0"/>
  </rowFields>
  <rowItems count="24">
    <i>
      <x/>
    </i>
    <i r="1">
      <x v="1"/>
    </i>
    <i r="1">
      <x v="2"/>
    </i>
    <i r="1">
      <x v="5"/>
    </i>
    <i>
      <x v="1"/>
    </i>
    <i r="1">
      <x v="3"/>
    </i>
    <i r="1">
      <x v="5"/>
    </i>
    <i>
      <x v="2"/>
    </i>
    <i r="1">
      <x/>
    </i>
    <i r="1">
      <x v="4"/>
    </i>
    <i>
      <x v="3"/>
    </i>
    <i r="1">
      <x v="2"/>
    </i>
    <i r="1">
      <x v="3"/>
    </i>
    <i r="1">
      <x v="4"/>
    </i>
    <i>
      <x v="4"/>
    </i>
    <i r="1">
      <x/>
    </i>
    <i r="1">
      <x v="1"/>
    </i>
    <i r="1">
      <x v="2"/>
    </i>
    <i r="1">
      <x v="3"/>
    </i>
    <i r="1">
      <x v="5"/>
    </i>
    <i>
      <x v="5"/>
    </i>
    <i r="1">
      <x/>
    </i>
    <i r="1">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5" firstHeaderRow="1" firstDataRow="1" firstDataCol="1"/>
  <pivotFields count="6">
    <pivotField axis="axisRow"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dataField="1" numFmtId="6" showAll="0"/>
    <pivotField numFmtId="6" showAll="0"/>
  </pivotFields>
  <rowFields count="2">
    <field x="0"/>
    <field x="1"/>
  </rowFields>
  <rowItems count="22">
    <i>
      <x/>
    </i>
    <i r="1">
      <x v="10"/>
    </i>
    <i r="1">
      <x v="11"/>
    </i>
    <i r="1">
      <x v="14"/>
    </i>
    <i>
      <x v="1"/>
    </i>
    <i r="1">
      <x v="3"/>
    </i>
    <i>
      <x v="2"/>
    </i>
    <i r="1">
      <x v="7"/>
    </i>
    <i r="1">
      <x v="8"/>
    </i>
    <i r="1">
      <x v="9"/>
    </i>
    <i r="1">
      <x v="13"/>
    </i>
    <i>
      <x v="3"/>
    </i>
    <i r="1">
      <x/>
    </i>
    <i r="1">
      <x v="4"/>
    </i>
    <i r="1">
      <x v="6"/>
    </i>
    <i>
      <x v="4"/>
    </i>
    <i r="1">
      <x v="1"/>
    </i>
    <i r="1">
      <x v="12"/>
    </i>
    <i>
      <x v="5"/>
    </i>
    <i r="1">
      <x v="2"/>
    </i>
    <i r="1">
      <x v="5"/>
    </i>
    <i t="grand">
      <x/>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7" firstHeaderRow="1"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dataField="1" numFmtId="3" showAll="0"/>
    <pivotField numFmtId="6" showAll="0"/>
    <pivotField numFmtId="6" showAll="0"/>
  </pivotFields>
  <rowFields count="2">
    <field x="0"/>
    <field x="2"/>
  </rowFields>
  <rowItems count="24">
    <i>
      <x/>
    </i>
    <i r="1">
      <x v="2"/>
    </i>
    <i r="1">
      <x v="4"/>
    </i>
    <i r="1">
      <x v="5"/>
    </i>
    <i>
      <x v="1"/>
    </i>
    <i r="1">
      <x/>
    </i>
    <i r="1">
      <x v="4"/>
    </i>
    <i>
      <x v="2"/>
    </i>
    <i r="1">
      <x/>
    </i>
    <i r="1">
      <x v="3"/>
    </i>
    <i r="1">
      <x v="4"/>
    </i>
    <i>
      <x v="3"/>
    </i>
    <i r="1">
      <x v="1"/>
    </i>
    <i r="1">
      <x v="3"/>
    </i>
    <i r="1">
      <x v="4"/>
    </i>
    <i r="1">
      <x v="5"/>
    </i>
    <i>
      <x v="4"/>
    </i>
    <i r="1">
      <x v="2"/>
    </i>
    <i r="1">
      <x v="3"/>
    </i>
    <i>
      <x v="5"/>
    </i>
    <i r="1">
      <x/>
    </i>
    <i r="1">
      <x v="1"/>
    </i>
    <i r="1">
      <x v="4"/>
    </i>
    <i t="grand">
      <x/>
    </i>
  </rowItems>
  <colItems count="1">
    <i/>
  </colItems>
  <dataFields count="1">
    <dataField name="Sum of Mile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Colour">
  <location ref="A3:B10" firstHeaderRow="1" firstDataRow="1" firstDataCol="1"/>
  <pivotFields count="6">
    <pivotField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numFmtId="3" showAll="0"/>
    <pivotField dataField="1" numFmtId="6" showAll="0"/>
    <pivotField numFmtId="6" showAll="0"/>
  </pivotFields>
  <rowFields count="1">
    <field x="2"/>
  </rowFields>
  <rowItems count="7">
    <i>
      <x/>
    </i>
    <i>
      <x v="1"/>
    </i>
    <i>
      <x v="2"/>
    </i>
    <i>
      <x v="3"/>
    </i>
    <i>
      <x v="4"/>
    </i>
    <i>
      <x v="5"/>
    </i>
    <i t="grand">
      <x/>
    </i>
  </rowItems>
  <colItems count="1">
    <i/>
  </colItems>
  <dataFields count="1">
    <dataField name="Sum of Price" fld="4" baseField="0" baseItem="0"/>
  </dataFields>
  <chartFormats count="3">
    <chartFormat chart="1"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rowPageCount="1" colPageCount="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axis="axisPage" numFmtId="6" multipleItemSelectionAllowed="1" showAll="0">
      <items count="25">
        <item h="1" x="2"/>
        <item h="1" x="23"/>
        <item h="1" x="8"/>
        <item h="1" x="3"/>
        <item x="6"/>
        <item x="13"/>
        <item x="1"/>
        <item x="20"/>
        <item x="9"/>
        <item x="7"/>
        <item x="19"/>
        <item x="5"/>
        <item x="15"/>
        <item x="14"/>
        <item x="17"/>
        <item x="12"/>
        <item x="4"/>
        <item x="10"/>
        <item x="0"/>
        <item x="22"/>
        <item x="21"/>
        <item x="16"/>
        <item x="18"/>
        <item x="11"/>
        <item t="default"/>
      </items>
    </pivotField>
    <pivotField dataField="1" numFmtId="6" showAll="0"/>
  </pivotFields>
  <rowFields count="1">
    <field x="0"/>
  </rowFields>
  <rowItems count="7">
    <i>
      <x/>
    </i>
    <i>
      <x v="1"/>
    </i>
    <i>
      <x v="2"/>
    </i>
    <i>
      <x v="3"/>
    </i>
    <i>
      <x v="4"/>
    </i>
    <i>
      <x v="5"/>
    </i>
    <i t="grand">
      <x/>
    </i>
  </rowItems>
  <colItems count="1">
    <i/>
  </colItems>
  <pageFields count="1">
    <pageField fld="4" hier="-1"/>
  </pageField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dataField="1" numFmtId="6" showAll="0"/>
    <pivotField numFmtId="6" showAll="0"/>
  </pivotFields>
  <rowFields count="1">
    <field x="0"/>
  </rowFields>
  <rowItems count="7">
    <i>
      <x/>
    </i>
    <i>
      <x v="1"/>
    </i>
    <i>
      <x v="2"/>
    </i>
    <i>
      <x v="3"/>
    </i>
    <i>
      <x v="4"/>
    </i>
    <i>
      <x v="5"/>
    </i>
    <i t="grand">
      <x/>
    </i>
  </rowItems>
  <colFields count="1">
    <field x="-2"/>
  </colFields>
  <colItems count="2">
    <i>
      <x/>
    </i>
    <i i="1">
      <x v="1"/>
    </i>
  </colItems>
  <dataFields count="2">
    <dataField name="Sum of Price2" fld="4" baseField="0" baseItem="0"/>
    <dataField name="Sum of Price"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Make">
  <location ref="A3:B10" firstHeaderRow="1" firstDataRow="1" firstDataCol="1"/>
  <pivotFields count="6">
    <pivotField axis="axisRow" showAll="0" sortType="descending">
      <items count="7">
        <item x="4"/>
        <item x="5"/>
        <item x="3"/>
        <item x="0"/>
        <item x="2"/>
        <item x="1"/>
        <item t="default"/>
      </items>
      <autoSortScope>
        <pivotArea dataOnly="0" outline="0" fieldPosition="0">
          <references count="1">
            <reference field="4294967294" count="1" selected="0">
              <x v="0"/>
            </reference>
          </references>
        </pivotArea>
      </autoSortScope>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dataField="1" numFmtId="3" showAll="0"/>
    <pivotField numFmtId="6" showAll="0"/>
    <pivotField numFmtId="6" showAll="0"/>
  </pivotFields>
  <rowFields count="1">
    <field x="0"/>
  </rowFields>
  <rowItems count="7">
    <i>
      <x/>
    </i>
    <i>
      <x v="3"/>
    </i>
    <i>
      <x v="5"/>
    </i>
    <i>
      <x v="2"/>
    </i>
    <i>
      <x v="1"/>
    </i>
    <i>
      <x v="4"/>
    </i>
    <i t="grand">
      <x/>
    </i>
  </rowItems>
  <colItems count="1">
    <i/>
  </colItems>
  <dataFields count="1">
    <dataField name="Sum of Mileage" fld="3" baseField="0" baseItem="0"/>
  </dataFields>
  <formats count="9">
    <format dxfId="14">
      <pivotArea collapsedLevelsAreSubtotals="1" fieldPosition="0">
        <references count="1">
          <reference field="0" count="0"/>
        </references>
      </pivotArea>
    </format>
    <format dxfId="13">
      <pivotArea collapsedLevelsAreSubtotals="1" fieldPosition="0">
        <references count="1">
          <reference field="0" count="0"/>
        </references>
      </pivotArea>
    </format>
    <format dxfId="12">
      <pivotArea collapsedLevelsAreSubtotals="1" fieldPosition="0">
        <references count="1">
          <reference field="0" count="0"/>
        </references>
      </pivotArea>
    </format>
    <format dxfId="11">
      <pivotArea collapsedLevelsAreSubtotals="1" fieldPosition="0">
        <references count="1">
          <reference field="0" count="1">
            <x v="5"/>
          </reference>
        </references>
      </pivotArea>
    </format>
    <format dxfId="10">
      <pivotArea grandRow="1" outline="0" collapsedLevelsAreSubtotals="1" fieldPosition="0"/>
    </format>
    <format dxfId="9">
      <pivotArea collapsedLevelsAreSubtotals="1" fieldPosition="0">
        <references count="1">
          <reference field="0" count="1">
            <x v="5"/>
          </reference>
        </references>
      </pivotArea>
    </format>
    <format dxfId="8">
      <pivotArea grandRow="1" outline="0" collapsedLevelsAreSubtotals="1" fieldPosition="0"/>
    </format>
    <format dxfId="7">
      <pivotArea collapsedLevelsAreSubtotals="1" fieldPosition="0">
        <references count="1">
          <reference field="0" count="1">
            <x v="5"/>
          </reference>
        </references>
      </pivotArea>
    </format>
    <format dxfId="6">
      <pivotArea grandRow="1"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7" firstHeaderRow="1" firstDataRow="1" firstDataCol="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numFmtId="3" showAll="0"/>
    <pivotField dataField="1" numFmtId="6" showAll="0"/>
    <pivotField numFmtId="6" showAll="0"/>
  </pivotFields>
  <rowFields count="2">
    <field x="0"/>
    <field x="2"/>
  </rowFields>
  <rowItems count="24">
    <i>
      <x/>
    </i>
    <i r="1">
      <x v="2"/>
    </i>
    <i r="1">
      <x v="4"/>
    </i>
    <i r="1">
      <x v="5"/>
    </i>
    <i>
      <x v="1"/>
    </i>
    <i r="1">
      <x/>
    </i>
    <i r="1">
      <x v="4"/>
    </i>
    <i>
      <x v="2"/>
    </i>
    <i r="1">
      <x/>
    </i>
    <i r="1">
      <x v="3"/>
    </i>
    <i r="1">
      <x v="4"/>
    </i>
    <i>
      <x v="3"/>
    </i>
    <i r="1">
      <x v="1"/>
    </i>
    <i r="1">
      <x v="3"/>
    </i>
    <i r="1">
      <x v="4"/>
    </i>
    <i r="1">
      <x v="5"/>
    </i>
    <i>
      <x v="4"/>
    </i>
    <i r="1">
      <x v="2"/>
    </i>
    <i r="1">
      <x v="3"/>
    </i>
    <i>
      <x v="5"/>
    </i>
    <i r="1">
      <x/>
    </i>
    <i r="1">
      <x v="1"/>
    </i>
    <i r="1">
      <x v="4"/>
    </i>
    <i t="grand">
      <x/>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rowPageCount="1" colPageCount="1"/>
  <pivotFields count="6">
    <pivotField axis="axisRow"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Page" showAll="0">
      <items count="7">
        <item x="3"/>
        <item x="1"/>
        <item x="4"/>
        <item x="0"/>
        <item x="2"/>
        <item x="5"/>
        <item t="default"/>
      </items>
    </pivotField>
    <pivotField numFmtId="3" showAll="0"/>
    <pivotField dataField="1" numFmtId="6" showAll="0"/>
    <pivotField numFmtId="6" showAll="0"/>
  </pivotFields>
  <rowFields count="1">
    <field x="0"/>
  </rowFields>
  <rowItems count="7">
    <i>
      <x/>
    </i>
    <i>
      <x v="1"/>
    </i>
    <i>
      <x v="2"/>
    </i>
    <i>
      <x v="3"/>
    </i>
    <i>
      <x v="4"/>
    </i>
    <i>
      <x v="5"/>
    </i>
    <i t="grand">
      <x/>
    </i>
  </rowItems>
  <colItems count="1">
    <i/>
  </colItems>
  <pageFields count="1">
    <pageField fld="2" hier="-1"/>
  </pageField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9" firstHeaderRow="1" firstDataRow="1" firstDataCol="1"/>
  <pivotFields count="6">
    <pivotField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numFmtId="6" showAll="0"/>
    <pivotField dataField="1" numFmtId="6"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Cost" fld="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O5" firstHeaderRow="1" firstDataRow="1" firstDataCol="0"/>
  <pivotFields count="6">
    <pivotField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dataField="1" numFmtId="3" showAll="0"/>
    <pivotField numFmtId="6" showAll="0"/>
    <pivotField numFmtId="6" showAll="0"/>
  </pivotFields>
  <rowItems count="1">
    <i/>
  </rowItems>
  <colItems count="1">
    <i/>
  </colItems>
  <dataFields count="1">
    <dataField name="Sum of Mileag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M4:M5" firstHeaderRow="1" firstDataRow="1" firstDataCol="0"/>
  <pivotFields count="6">
    <pivotField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dataField="1" numFmtId="6" showAll="0"/>
    <pivotField numFmtId="6" showAll="0"/>
  </pivotFields>
  <rowItems count="1">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K4:K5" firstHeaderRow="1" firstDataRow="1" firstDataCol="0"/>
  <pivotFields count="6">
    <pivotField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showAll="0">
      <items count="7">
        <item x="3"/>
        <item x="1"/>
        <item x="4"/>
        <item x="0"/>
        <item x="2"/>
        <item x="5"/>
        <item t="default"/>
      </items>
    </pivotField>
    <pivotField numFmtId="3" showAll="0"/>
    <pivotField numFmtId="6" showAll="0"/>
    <pivotField dataField="1" numFmtId="6" showAll="0"/>
  </pivotFields>
  <rowItems count="1">
    <i/>
  </rowItems>
  <colItems count="1">
    <i/>
  </colItems>
  <dataFields count="1">
    <dataField name="Sum of Cost" fld="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rowHeaderCaption="Colour">
  <location ref="A3:B10" firstHeaderRow="1" firstDataRow="1" firstDataCol="1"/>
  <pivotFields count="6">
    <pivotField showAll="0">
      <items count="7">
        <item x="4"/>
        <item x="5"/>
        <item x="3"/>
        <item x="0"/>
        <item x="2"/>
        <item x="1"/>
        <item t="default"/>
      </items>
    </pivotField>
    <pivotField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dataField="1" numFmtId="3" showAll="0"/>
    <pivotField numFmtId="6" showAll="0"/>
    <pivotField numFmtId="6" showAll="0"/>
  </pivotFields>
  <rowFields count="1">
    <field x="2"/>
  </rowFields>
  <rowItems count="7">
    <i>
      <x/>
    </i>
    <i>
      <x v="1"/>
    </i>
    <i>
      <x v="2"/>
    </i>
    <i>
      <x v="3"/>
    </i>
    <i>
      <x v="4"/>
    </i>
    <i>
      <x v="5"/>
    </i>
    <i t="grand">
      <x/>
    </i>
  </rowItems>
  <colItems count="1">
    <i/>
  </colItems>
  <dataFields count="1">
    <dataField name="Sum of Mileage" fld="3" baseField="0" baseItem="0"/>
  </dataFields>
  <chartFormats count="3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 chart="0" format="8">
      <pivotArea type="data" outline="0" fieldPosition="0">
        <references count="2">
          <reference field="4294967294" count="1" selected="0">
            <x v="0"/>
          </reference>
          <reference field="2" count="1" selected="0">
            <x v="5"/>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2" count="1" selected="0">
            <x v="0"/>
          </reference>
        </references>
      </pivotArea>
    </chartFormat>
    <chartFormat chart="11" format="32">
      <pivotArea type="data" outline="0" fieldPosition="0">
        <references count="2">
          <reference field="4294967294" count="1" selected="0">
            <x v="0"/>
          </reference>
          <reference field="2" count="1" selected="0">
            <x v="1"/>
          </reference>
        </references>
      </pivotArea>
    </chartFormat>
    <chartFormat chart="11" format="33">
      <pivotArea type="data" outline="0" fieldPosition="0">
        <references count="2">
          <reference field="4294967294" count="1" selected="0">
            <x v="0"/>
          </reference>
          <reference field="2" count="1" selected="0">
            <x v="2"/>
          </reference>
        </references>
      </pivotArea>
    </chartFormat>
    <chartFormat chart="11" format="34">
      <pivotArea type="data" outline="0" fieldPosition="0">
        <references count="2">
          <reference field="4294967294" count="1" selected="0">
            <x v="0"/>
          </reference>
          <reference field="2" count="1" selected="0">
            <x v="3"/>
          </reference>
        </references>
      </pivotArea>
    </chartFormat>
    <chartFormat chart="11" format="35">
      <pivotArea type="data" outline="0" fieldPosition="0">
        <references count="2">
          <reference field="4294967294" count="1" selected="0">
            <x v="0"/>
          </reference>
          <reference field="2" count="1" selected="0">
            <x v="4"/>
          </reference>
        </references>
      </pivotArea>
    </chartFormat>
    <chartFormat chart="11" format="36">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1">
          <reference field="4294967294" count="1" selected="0">
            <x v="0"/>
          </reference>
        </references>
      </pivotArea>
    </chartFormat>
    <chartFormat chart="12" format="38">
      <pivotArea type="data" outline="0" fieldPosition="0">
        <references count="2">
          <reference field="4294967294" count="1" selected="0">
            <x v="0"/>
          </reference>
          <reference field="2" count="1" selected="0">
            <x v="0"/>
          </reference>
        </references>
      </pivotArea>
    </chartFormat>
    <chartFormat chart="12" format="39">
      <pivotArea type="data" outline="0" fieldPosition="0">
        <references count="2">
          <reference field="4294967294" count="1" selected="0">
            <x v="0"/>
          </reference>
          <reference field="2" count="1" selected="0">
            <x v="1"/>
          </reference>
        </references>
      </pivotArea>
    </chartFormat>
    <chartFormat chart="12" format="40">
      <pivotArea type="data" outline="0" fieldPosition="0">
        <references count="2">
          <reference field="4294967294" count="1" selected="0">
            <x v="0"/>
          </reference>
          <reference field="2" count="1" selected="0">
            <x v="2"/>
          </reference>
        </references>
      </pivotArea>
    </chartFormat>
    <chartFormat chart="12" format="41">
      <pivotArea type="data" outline="0" fieldPosition="0">
        <references count="2">
          <reference field="4294967294" count="1" selected="0">
            <x v="0"/>
          </reference>
          <reference field="2" count="1" selected="0">
            <x v="3"/>
          </reference>
        </references>
      </pivotArea>
    </chartFormat>
    <chartFormat chart="12" format="42">
      <pivotArea type="data" outline="0" fieldPosition="0">
        <references count="2">
          <reference field="4294967294" count="1" selected="0">
            <x v="0"/>
          </reference>
          <reference field="2" count="1" selected="0">
            <x v="4"/>
          </reference>
        </references>
      </pivotArea>
    </chartFormat>
    <chartFormat chart="12" format="43">
      <pivotArea type="data" outline="0" fieldPosition="0">
        <references count="2">
          <reference field="4294967294" count="1" selected="0">
            <x v="0"/>
          </reference>
          <reference field="2" count="1" selected="0">
            <x v="5"/>
          </reference>
        </references>
      </pivotArea>
    </chartFormat>
    <chartFormat chart="16" format="51" series="1">
      <pivotArea type="data" outline="0" fieldPosition="0">
        <references count="1">
          <reference field="4294967294" count="1" selected="0">
            <x v="0"/>
          </reference>
        </references>
      </pivotArea>
    </chartFormat>
    <chartFormat chart="16" format="52">
      <pivotArea type="data" outline="0" fieldPosition="0">
        <references count="2">
          <reference field="4294967294" count="1" selected="0">
            <x v="0"/>
          </reference>
          <reference field="2" count="1" selected="0">
            <x v="0"/>
          </reference>
        </references>
      </pivotArea>
    </chartFormat>
    <chartFormat chart="16" format="53">
      <pivotArea type="data" outline="0" fieldPosition="0">
        <references count="2">
          <reference field="4294967294" count="1" selected="0">
            <x v="0"/>
          </reference>
          <reference field="2" count="1" selected="0">
            <x v="1"/>
          </reference>
        </references>
      </pivotArea>
    </chartFormat>
    <chartFormat chart="16" format="54">
      <pivotArea type="data" outline="0" fieldPosition="0">
        <references count="2">
          <reference field="4294967294" count="1" selected="0">
            <x v="0"/>
          </reference>
          <reference field="2" count="1" selected="0">
            <x v="2"/>
          </reference>
        </references>
      </pivotArea>
    </chartFormat>
    <chartFormat chart="16" format="55">
      <pivotArea type="data" outline="0" fieldPosition="0">
        <references count="2">
          <reference field="4294967294" count="1" selected="0">
            <x v="0"/>
          </reference>
          <reference field="2" count="1" selected="0">
            <x v="3"/>
          </reference>
        </references>
      </pivotArea>
    </chartFormat>
    <chartFormat chart="16" format="56">
      <pivotArea type="data" outline="0" fieldPosition="0">
        <references count="2">
          <reference field="4294967294" count="1" selected="0">
            <x v="0"/>
          </reference>
          <reference field="2" count="1" selected="0">
            <x v="4"/>
          </reference>
        </references>
      </pivotArea>
    </chartFormat>
    <chartFormat chart="16" format="57">
      <pivotArea type="data" outline="0" fieldPosition="0">
        <references count="2">
          <reference field="4294967294" count="1" selected="0">
            <x v="0"/>
          </reference>
          <reference field="2" count="1" selected="0">
            <x v="5"/>
          </reference>
        </references>
      </pivotArea>
    </chartFormat>
    <chartFormat chart="17" format="44"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2" count="1" selected="0">
            <x v="0"/>
          </reference>
        </references>
      </pivotArea>
    </chartFormat>
    <chartFormat chart="17" format="46">
      <pivotArea type="data" outline="0" fieldPosition="0">
        <references count="2">
          <reference field="4294967294" count="1" selected="0">
            <x v="0"/>
          </reference>
          <reference field="2" count="1" selected="0">
            <x v="1"/>
          </reference>
        </references>
      </pivotArea>
    </chartFormat>
    <chartFormat chart="17" format="47">
      <pivotArea type="data" outline="0" fieldPosition="0">
        <references count="2">
          <reference field="4294967294" count="1" selected="0">
            <x v="0"/>
          </reference>
          <reference field="2" count="1" selected="0">
            <x v="2"/>
          </reference>
        </references>
      </pivotArea>
    </chartFormat>
    <chartFormat chart="17" format="48">
      <pivotArea type="data" outline="0" fieldPosition="0">
        <references count="2">
          <reference field="4294967294" count="1" selected="0">
            <x v="0"/>
          </reference>
          <reference field="2" count="1" selected="0">
            <x v="3"/>
          </reference>
        </references>
      </pivotArea>
    </chartFormat>
    <chartFormat chart="17" format="49">
      <pivotArea type="data" outline="0" fieldPosition="0">
        <references count="2">
          <reference field="4294967294" count="1" selected="0">
            <x v="0"/>
          </reference>
          <reference field="2" count="1" selected="0">
            <x v="4"/>
          </reference>
        </references>
      </pivotArea>
    </chartFormat>
    <chartFormat chart="17" format="5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6" firstHeaderRow="1" firstDataRow="1" firstDataCol="1"/>
  <pivotFields count="6">
    <pivotField axis="axisRow" showAll="0">
      <items count="7">
        <item x="4"/>
        <item x="5"/>
        <item x="3"/>
        <item x="0"/>
        <item x="2"/>
        <item x="1"/>
        <item t="default"/>
      </items>
    </pivotField>
    <pivotField axis="axisRow" showAll="0">
      <items count="16">
        <item x="0"/>
        <item x="2"/>
        <item x="1"/>
        <item x="14"/>
        <item x="4"/>
        <item x="3"/>
        <item x="11"/>
        <item x="9"/>
        <item x="5"/>
        <item x="13"/>
        <item x="7"/>
        <item x="8"/>
        <item x="12"/>
        <item x="10"/>
        <item x="6"/>
        <item t="default"/>
      </items>
    </pivotField>
    <pivotField axis="axisRow" showAll="0">
      <items count="7">
        <item x="3"/>
        <item x="1"/>
        <item x="4"/>
        <item x="0"/>
        <item x="2"/>
        <item x="5"/>
        <item t="default"/>
      </items>
    </pivotField>
    <pivotField numFmtId="3" showAll="0"/>
    <pivotField numFmtId="6" showAll="0"/>
    <pivotField numFmtId="6" showAll="0"/>
  </pivotFields>
  <rowFields count="3">
    <field x="1"/>
    <field x="0"/>
    <field x="2"/>
  </rowFields>
  <rowItems count="53">
    <i>
      <x/>
    </i>
    <i r="1">
      <x v="3"/>
    </i>
    <i r="2">
      <x v="1"/>
    </i>
    <i r="2">
      <x v="3"/>
    </i>
    <i r="2">
      <x v="4"/>
    </i>
    <i>
      <x v="1"/>
    </i>
    <i r="1">
      <x v="4"/>
    </i>
    <i r="2">
      <x v="2"/>
    </i>
    <i>
      <x v="2"/>
    </i>
    <i r="1">
      <x v="5"/>
    </i>
    <i r="2">
      <x/>
    </i>
    <i>
      <x v="3"/>
    </i>
    <i r="1">
      <x v="1"/>
    </i>
    <i r="2">
      <x/>
    </i>
    <i r="2">
      <x v="4"/>
    </i>
    <i>
      <x v="4"/>
    </i>
    <i r="1">
      <x v="3"/>
    </i>
    <i r="2">
      <x v="5"/>
    </i>
    <i>
      <x v="5"/>
    </i>
    <i r="1">
      <x v="5"/>
    </i>
    <i r="2">
      <x/>
    </i>
    <i r="2">
      <x v="1"/>
    </i>
    <i r="2">
      <x v="4"/>
    </i>
    <i>
      <x v="6"/>
    </i>
    <i r="1">
      <x v="3"/>
    </i>
    <i r="2">
      <x v="1"/>
    </i>
    <i>
      <x v="7"/>
    </i>
    <i r="1">
      <x v="2"/>
    </i>
    <i r="2">
      <x/>
    </i>
    <i r="2">
      <x v="3"/>
    </i>
    <i>
      <x v="8"/>
    </i>
    <i r="1">
      <x v="2"/>
    </i>
    <i r="2">
      <x/>
    </i>
    <i>
      <x v="9"/>
    </i>
    <i r="1">
      <x v="2"/>
    </i>
    <i r="2">
      <x/>
    </i>
    <i>
      <x v="10"/>
    </i>
    <i r="1">
      <x/>
    </i>
    <i r="2">
      <x v="4"/>
    </i>
    <i r="2">
      <x v="5"/>
    </i>
    <i>
      <x v="11"/>
    </i>
    <i r="1">
      <x/>
    </i>
    <i r="2">
      <x v="5"/>
    </i>
    <i>
      <x v="12"/>
    </i>
    <i r="1">
      <x v="4"/>
    </i>
    <i r="2">
      <x v="3"/>
    </i>
    <i>
      <x v="13"/>
    </i>
    <i r="1">
      <x v="2"/>
    </i>
    <i r="2">
      <x v="4"/>
    </i>
    <i>
      <x v="14"/>
    </i>
    <i r="1">
      <x/>
    </i>
    <i r="2">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ke" sourceName="Make">
  <pivotTables>
    <pivotTable tabId="31" name="PivotTable2"/>
    <pivotTable tabId="11" name="PivotTable7"/>
    <pivotTable tabId="30" name="PivotTable1"/>
    <pivotTable tabId="4" name="PivotTable5"/>
    <pivotTable tabId="37" name="PivotTable1"/>
    <pivotTable tabId="37" name="PivotTable2"/>
    <pivotTable tabId="37" name="PivotTable3"/>
    <pivotTable tabId="37" name="PivotTable4"/>
    <pivotTable tabId="23" name="PivotTable18"/>
    <pivotTable tabId="24" name="PivotTable19"/>
    <pivotTable tabId="34" name="PivotTable1"/>
    <pivotTable tabId="27" name="PivotTable21"/>
    <pivotTable tabId="28" name="PivotTable22"/>
    <pivotTable tabId="29" name="PivotTable23"/>
    <pivotTable tabId="13" name="PivotTable9"/>
    <pivotTable tabId="20" name="PivotTable15"/>
    <pivotTable tabId="19" name="PivotTable13"/>
    <pivotTable tabId="18" name="PivotTable12"/>
    <pivotTable tabId="21" name="PivotTable16"/>
    <pivotTable tabId="33" name="PivotTable3"/>
  </pivotTables>
  <data>
    <tabular pivotCacheId="1">
      <items count="6">
        <i x="4" s="1"/>
        <i x="5"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del" sourceName="Model">
  <pivotTables>
    <pivotTable tabId="31" name="PivotTable2"/>
    <pivotTable tabId="11" name="PivotTable7"/>
    <pivotTable tabId="30" name="PivotTable1"/>
    <pivotTable tabId="4" name="PivotTable5"/>
    <pivotTable tabId="37" name="PivotTable1"/>
    <pivotTable tabId="37" name="PivotTable2"/>
    <pivotTable tabId="37" name="PivotTable3"/>
    <pivotTable tabId="37" name="PivotTable4"/>
    <pivotTable tabId="23" name="PivotTable18"/>
    <pivotTable tabId="24" name="PivotTable19"/>
    <pivotTable tabId="34" name="PivotTable1"/>
    <pivotTable tabId="27" name="PivotTable21"/>
    <pivotTable tabId="28" name="PivotTable22"/>
    <pivotTable tabId="29" name="PivotTable23"/>
    <pivotTable tabId="13" name="PivotTable9"/>
    <pivotTable tabId="20" name="PivotTable15"/>
    <pivotTable tabId="19" name="PivotTable13"/>
    <pivotTable tabId="18" name="PivotTable12"/>
    <pivotTable tabId="21" name="PivotTable16"/>
    <pivotTable tabId="33" name="PivotTable3"/>
  </pivotTables>
  <data>
    <tabular pivotCacheId="1">
      <items count="15">
        <i x="0" s="1"/>
        <i x="2" s="1"/>
        <i x="1" s="1"/>
        <i x="14" s="1"/>
        <i x="4" s="1"/>
        <i x="3" s="1"/>
        <i x="11" s="1"/>
        <i x="9" s="1"/>
        <i x="5" s="1"/>
        <i x="13" s="1"/>
        <i x="7" s="1"/>
        <i x="8" s="1"/>
        <i x="12" s="1"/>
        <i x="1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lor" sourceName="Color">
  <pivotTables>
    <pivotTable tabId="31" name="PivotTable2"/>
    <pivotTable tabId="11" name="PivotTable7"/>
    <pivotTable tabId="30" name="PivotTable1"/>
    <pivotTable tabId="4" name="PivotTable5"/>
    <pivotTable tabId="37" name="PivotTable1"/>
    <pivotTable tabId="37" name="PivotTable2"/>
    <pivotTable tabId="37" name="PivotTable3"/>
    <pivotTable tabId="37" name="PivotTable4"/>
    <pivotTable tabId="23" name="PivotTable18"/>
    <pivotTable tabId="24" name="PivotTable19"/>
    <pivotTable tabId="34" name="PivotTable1"/>
    <pivotTable tabId="27" name="PivotTable21"/>
    <pivotTable tabId="28" name="PivotTable22"/>
    <pivotTable tabId="29" name="PivotTable23"/>
    <pivotTable tabId="13" name="PivotTable9"/>
    <pivotTable tabId="20" name="PivotTable15"/>
    <pivotTable tabId="19" name="PivotTable13"/>
    <pivotTable tabId="18" name="PivotTable12"/>
    <pivotTable tabId="21" name="PivotTable16"/>
    <pivotTable tabId="33" name="PivotTable3"/>
  </pivotTables>
  <data>
    <tabular pivotCacheId="1">
      <items count="6">
        <i x="3" s="1"/>
        <i x="1" s="1"/>
        <i x="4"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ke 2" cache="Slicer_Make" caption="Make" rowHeight="241300"/>
  <slicer name="Model 4" cache="Slicer_Model" caption="Model" rowHeight="241300"/>
  <slicer name="Color 4" cache="Slicer_Color" caption="Colo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ake 5" cache="Slicer_Make" caption="Make" columnCount="2" style="SlicerStyleDark6" rowHeight="241300"/>
  <slicer name="Model 5" cache="Slicer_Model" caption="Model" columnCount="2" style="SlicerStyleDark6" rowHeight="241300"/>
  <slicer name="Color 5" cache="Slicer_Color" caption="Color"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ake" cache="Slicer_Make" caption="Make" rowHeight="241300"/>
  <slicer name="Make 3" cache="Slicer_Make" caption="Make" rowHeight="241300"/>
  <slicer name="Make 4" cache="Slicer_Make" caption="Make" rowHeight="241300"/>
  <slicer name="Model" cache="Slicer_Model" caption="Model" rowHeight="241300"/>
  <slicer name="Model 2" cache="Slicer_Model" caption="Model" rowHeight="241300"/>
  <slicer name="Model 3" cache="Slicer_Model" caption="Model" rowHeight="241300"/>
  <slicer name="Color" cache="Slicer_Color" caption="Color" rowHeight="241300"/>
  <slicer name="Color 2" cache="Slicer_Color" caption="Color" rowHeight="241300"/>
  <slicer name="Color 3" cache="Slicer_Color" caption="Color" rowHeight="241300"/>
</slicers>
</file>

<file path=xl/tables/table1.xml><?xml version="1.0" encoding="utf-8"?>
<table xmlns="http://schemas.openxmlformats.org/spreadsheetml/2006/main" id="3" name="Table3" displayName="Table3" ref="A1:F25" totalsRowShown="0" headerRowCellStyle="Hyperlink" dataCellStyle="Hyperlink">
  <autoFilter ref="A1:F25"/>
  <tableColumns count="6">
    <tableColumn id="1" name="Make" dataDxfId="5"/>
    <tableColumn id="2" name="Model" dataDxfId="4"/>
    <tableColumn id="3" name="Color" dataDxfId="3"/>
    <tableColumn id="4" name="Mileage" dataDxfId="2"/>
    <tableColumn id="5" name="Price" dataDxfId="1"/>
    <tableColumn id="6" name="Co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drawing" Target="../drawings/drawing5.xml"/><Relationship Id="rId4"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9.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C24" sqref="C24"/>
    </sheetView>
  </sheetViews>
  <sheetFormatPr defaultRowHeight="14.5" x14ac:dyDescent="0.35"/>
  <cols>
    <col min="1" max="1" width="10.7265625" bestFit="1" customWidth="1"/>
    <col min="2" max="2" width="11.1796875" bestFit="1" customWidth="1"/>
    <col min="3" max="3" width="10.81640625" bestFit="1" customWidth="1"/>
  </cols>
  <sheetData>
    <row r="3" spans="1:3" x14ac:dyDescent="0.35">
      <c r="A3" s="9" t="s">
        <v>3</v>
      </c>
      <c r="B3" t="s">
        <v>35</v>
      </c>
      <c r="C3" t="s">
        <v>38</v>
      </c>
    </row>
    <row r="4" spans="1:3" x14ac:dyDescent="0.35">
      <c r="A4" s="10" t="s">
        <v>22</v>
      </c>
      <c r="B4" s="11">
        <v>14451</v>
      </c>
      <c r="C4" s="11">
        <v>13000</v>
      </c>
    </row>
    <row r="5" spans="1:3" x14ac:dyDescent="0.35">
      <c r="A5" s="10" t="s">
        <v>31</v>
      </c>
      <c r="B5" s="11">
        <v>10691</v>
      </c>
      <c r="C5" s="11">
        <v>9300</v>
      </c>
    </row>
    <row r="6" spans="1:3" x14ac:dyDescent="0.35">
      <c r="A6" s="10" t="s">
        <v>20</v>
      </c>
      <c r="B6" s="11">
        <v>17908</v>
      </c>
      <c r="C6" s="11">
        <v>15150</v>
      </c>
    </row>
    <row r="7" spans="1:3" x14ac:dyDescent="0.35">
      <c r="A7" s="10" t="s">
        <v>6</v>
      </c>
      <c r="B7" s="11">
        <v>15968</v>
      </c>
      <c r="C7" s="11">
        <v>12500</v>
      </c>
    </row>
    <row r="8" spans="1:3" x14ac:dyDescent="0.35">
      <c r="A8" s="10" t="s">
        <v>14</v>
      </c>
      <c r="B8" s="11">
        <v>9710</v>
      </c>
      <c r="C8" s="11">
        <v>8000</v>
      </c>
    </row>
    <row r="9" spans="1:3" x14ac:dyDescent="0.35">
      <c r="A9" s="10" t="s">
        <v>11</v>
      </c>
      <c r="B9" s="11">
        <v>9380</v>
      </c>
      <c r="C9" s="11">
        <v>8200</v>
      </c>
    </row>
    <row r="10" spans="1:3" x14ac:dyDescent="0.35">
      <c r="A10" s="10" t="s">
        <v>34</v>
      </c>
      <c r="B10" s="11">
        <v>78108</v>
      </c>
      <c r="C10" s="11">
        <v>66150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4.5" x14ac:dyDescent="0.35"/>
  <cols>
    <col min="1" max="1" width="10.7265625" bestFit="1" customWidth="1"/>
    <col min="2" max="2" width="11.1796875" customWidth="1"/>
    <col min="3" max="3" width="10.81640625" bestFit="1" customWidth="1"/>
    <col min="4" max="4" width="11.1796875" bestFit="1" customWidth="1"/>
    <col min="5" max="5" width="10.81640625" bestFit="1" customWidth="1"/>
    <col min="6" max="6" width="11.1796875" bestFit="1" customWidth="1"/>
    <col min="7" max="7" width="10.81640625" bestFit="1" customWidth="1"/>
    <col min="8" max="8" width="11.1796875" bestFit="1" customWidth="1"/>
    <col min="9" max="9" width="10.81640625" bestFit="1" customWidth="1"/>
    <col min="10" max="10" width="11.1796875" bestFit="1" customWidth="1"/>
    <col min="11" max="11" width="10.81640625" bestFit="1" customWidth="1"/>
    <col min="12" max="12" width="11.1796875" bestFit="1" customWidth="1"/>
    <col min="13" max="13" width="10.81640625" bestFit="1" customWidth="1"/>
    <col min="14" max="14" width="11.1796875" bestFit="1" customWidth="1"/>
    <col min="15" max="15" width="10.81640625" bestFit="1" customWidth="1"/>
    <col min="16" max="16" width="11.1796875" bestFit="1" customWidth="1"/>
    <col min="17" max="17" width="10.81640625" bestFit="1" customWidth="1"/>
    <col min="18" max="18" width="11.1796875" bestFit="1" customWidth="1"/>
    <col min="19" max="19" width="10.81640625" bestFit="1" customWidth="1"/>
    <col min="20" max="20" width="11.1796875" bestFit="1" customWidth="1"/>
    <col min="21" max="21" width="10.81640625" bestFit="1" customWidth="1"/>
    <col min="22" max="22" width="11.1796875" bestFit="1" customWidth="1"/>
    <col min="23" max="23" width="10.81640625" bestFit="1" customWidth="1"/>
    <col min="24" max="24" width="11.1796875" bestFit="1" customWidth="1"/>
    <col min="25" max="25" width="10.81640625" bestFit="1" customWidth="1"/>
    <col min="26" max="26" width="11.1796875" bestFit="1" customWidth="1"/>
    <col min="27" max="27" width="10.81640625" bestFit="1" customWidth="1"/>
    <col min="28" max="28" width="11.1796875" bestFit="1" customWidth="1"/>
    <col min="29" max="29" width="10.81640625" bestFit="1" customWidth="1"/>
    <col min="30" max="30" width="11.1796875" bestFit="1" customWidth="1"/>
    <col min="31" max="31" width="10.81640625" bestFit="1" customWidth="1"/>
    <col min="32" max="32" width="16" bestFit="1" customWidth="1"/>
    <col min="33" max="33" width="15.6328125" bestFit="1" customWidth="1"/>
    <col min="34" max="34" width="10.81640625" bestFit="1" customWidth="1"/>
    <col min="35" max="35" width="11.1796875" bestFit="1" customWidth="1"/>
    <col min="36" max="36" width="13.7265625" bestFit="1" customWidth="1"/>
    <col min="37" max="37" width="10.81640625" bestFit="1" customWidth="1"/>
    <col min="38" max="38" width="11.1796875" bestFit="1" customWidth="1"/>
    <col min="39" max="39" width="13.7265625" bestFit="1" customWidth="1"/>
    <col min="40" max="40" width="10.81640625" bestFit="1" customWidth="1"/>
    <col min="41" max="41" width="11.1796875" bestFit="1" customWidth="1"/>
    <col min="42" max="42" width="13.7265625" bestFit="1" customWidth="1"/>
    <col min="43" max="43" width="10.81640625" bestFit="1" customWidth="1"/>
    <col min="44" max="44" width="11.1796875" bestFit="1" customWidth="1"/>
    <col min="45" max="45" width="13.7265625" bestFit="1" customWidth="1"/>
    <col min="46" max="46" width="10.81640625" bestFit="1" customWidth="1"/>
    <col min="47" max="47" width="16" bestFit="1" customWidth="1"/>
    <col min="48" max="48" width="18.54296875" bestFit="1" customWidth="1"/>
    <col min="49" max="49" width="15.6328125" bestFit="1" customWidth="1"/>
  </cols>
  <sheetData>
    <row r="3" spans="1:2" x14ac:dyDescent="0.35">
      <c r="A3" s="9" t="s">
        <v>3</v>
      </c>
      <c r="B3" t="s">
        <v>35</v>
      </c>
    </row>
    <row r="4" spans="1:2" x14ac:dyDescent="0.35">
      <c r="A4" s="10" t="s">
        <v>20</v>
      </c>
      <c r="B4" s="12">
        <v>17908</v>
      </c>
    </row>
    <row r="5" spans="1:2" x14ac:dyDescent="0.35">
      <c r="A5" s="10" t="s">
        <v>6</v>
      </c>
      <c r="B5" s="12">
        <v>15968</v>
      </c>
    </row>
    <row r="6" spans="1:2" x14ac:dyDescent="0.35">
      <c r="A6" s="10" t="s">
        <v>22</v>
      </c>
      <c r="B6" s="12">
        <v>14451</v>
      </c>
    </row>
    <row r="7" spans="1:2" x14ac:dyDescent="0.35">
      <c r="A7" s="10" t="s">
        <v>31</v>
      </c>
      <c r="B7" s="12">
        <v>10691</v>
      </c>
    </row>
    <row r="8" spans="1:2" x14ac:dyDescent="0.35">
      <c r="A8" s="10" t="s">
        <v>14</v>
      </c>
      <c r="B8" s="12">
        <v>9710</v>
      </c>
    </row>
    <row r="9" spans="1:2" x14ac:dyDescent="0.35">
      <c r="A9" s="10" t="s">
        <v>11</v>
      </c>
      <c r="B9" s="12">
        <v>9380</v>
      </c>
    </row>
    <row r="10" spans="1:2" x14ac:dyDescent="0.35">
      <c r="A10" s="10" t="s">
        <v>34</v>
      </c>
      <c r="B10" s="12">
        <v>78108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7"/>
  <sheetViews>
    <sheetView zoomScale="68" zoomScaleNormal="100" workbookViewId="0">
      <selection activeCell="F5" sqref="F5"/>
    </sheetView>
  </sheetViews>
  <sheetFormatPr defaultRowHeight="14.5" x14ac:dyDescent="0.35"/>
  <cols>
    <col min="1" max="1" width="13.453125" bestFit="1" customWidth="1"/>
    <col min="2" max="2" width="14" bestFit="1" customWidth="1"/>
    <col min="4" max="4" width="9.36328125" customWidth="1"/>
  </cols>
  <sheetData>
    <row r="3" spans="1:8" x14ac:dyDescent="0.35">
      <c r="A3" s="9" t="s">
        <v>33</v>
      </c>
      <c r="B3" t="s">
        <v>39</v>
      </c>
      <c r="D3" s="15" t="s">
        <v>42</v>
      </c>
    </row>
    <row r="4" spans="1:8" x14ac:dyDescent="0.35">
      <c r="A4" s="10" t="s">
        <v>22</v>
      </c>
      <c r="B4" s="11">
        <v>477017</v>
      </c>
    </row>
    <row r="5" spans="1:8" x14ac:dyDescent="0.35">
      <c r="A5" s="13" t="s">
        <v>16</v>
      </c>
      <c r="B5" s="11">
        <v>109231</v>
      </c>
      <c r="E5" s="15"/>
    </row>
    <row r="6" spans="1:8" x14ac:dyDescent="0.35">
      <c r="A6" s="13" t="s">
        <v>10</v>
      </c>
      <c r="B6" s="11">
        <v>87675</v>
      </c>
    </row>
    <row r="7" spans="1:8" x14ac:dyDescent="0.35">
      <c r="A7" s="13" t="s">
        <v>19</v>
      </c>
      <c r="B7" s="11">
        <v>280111</v>
      </c>
      <c r="D7">
        <f>MAX(B5:B7)</f>
        <v>280111</v>
      </c>
    </row>
    <row r="8" spans="1:8" x14ac:dyDescent="0.35">
      <c r="A8" s="10" t="s">
        <v>31</v>
      </c>
      <c r="B8" s="11">
        <v>229801</v>
      </c>
    </row>
    <row r="9" spans="1:8" x14ac:dyDescent="0.35">
      <c r="A9" s="13" t="s">
        <v>13</v>
      </c>
      <c r="B9" s="11">
        <v>136775</v>
      </c>
    </row>
    <row r="10" spans="1:8" x14ac:dyDescent="0.35">
      <c r="A10" s="13" t="s">
        <v>10</v>
      </c>
      <c r="B10" s="11">
        <v>93026</v>
      </c>
      <c r="D10">
        <f>MAX(B9:B10)</f>
        <v>136775</v>
      </c>
    </row>
    <row r="11" spans="1:8" x14ac:dyDescent="0.35">
      <c r="A11" s="10" t="s">
        <v>20</v>
      </c>
      <c r="B11" s="11">
        <v>277260</v>
      </c>
    </row>
    <row r="12" spans="1:8" x14ac:dyDescent="0.35">
      <c r="A12" s="13" t="s">
        <v>13</v>
      </c>
      <c r="B12" s="11">
        <v>194874</v>
      </c>
    </row>
    <row r="13" spans="1:8" x14ac:dyDescent="0.35">
      <c r="A13" s="13" t="s">
        <v>8</v>
      </c>
      <c r="B13" s="11">
        <v>40826</v>
      </c>
    </row>
    <row r="14" spans="1:8" x14ac:dyDescent="0.35">
      <c r="A14" s="13" t="s">
        <v>10</v>
      </c>
      <c r="B14" s="11">
        <v>41560</v>
      </c>
      <c r="D14">
        <f>MAX(B12:B14)</f>
        <v>194874</v>
      </c>
    </row>
    <row r="15" spans="1:8" x14ac:dyDescent="0.35">
      <c r="A15" s="10" t="s">
        <v>6</v>
      </c>
      <c r="B15" s="11">
        <v>448116</v>
      </c>
      <c r="G15" s="15" t="s">
        <v>42</v>
      </c>
      <c r="H15">
        <f>MAX(B4:B26)</f>
        <v>477017</v>
      </c>
    </row>
    <row r="16" spans="1:8" x14ac:dyDescent="0.35">
      <c r="A16" s="13" t="s">
        <v>9</v>
      </c>
      <c r="B16" s="11">
        <v>144461</v>
      </c>
    </row>
    <row r="17" spans="1:4" x14ac:dyDescent="0.35">
      <c r="A17" s="13" t="s">
        <v>8</v>
      </c>
      <c r="B17" s="11">
        <v>63512</v>
      </c>
    </row>
    <row r="18" spans="1:4" x14ac:dyDescent="0.35">
      <c r="A18" s="13" t="s">
        <v>10</v>
      </c>
      <c r="B18" s="11">
        <v>101354</v>
      </c>
    </row>
    <row r="19" spans="1:4" x14ac:dyDescent="0.35">
      <c r="A19" s="13" t="s">
        <v>19</v>
      </c>
      <c r="B19" s="11">
        <v>138789</v>
      </c>
      <c r="D19">
        <f>MAX(B16:B19)</f>
        <v>144461</v>
      </c>
    </row>
    <row r="20" spans="1:4" x14ac:dyDescent="0.35">
      <c r="A20" s="10" t="s">
        <v>14</v>
      </c>
      <c r="B20" s="11">
        <v>226936</v>
      </c>
    </row>
    <row r="21" spans="1:4" x14ac:dyDescent="0.35">
      <c r="A21" s="13" t="s">
        <v>16</v>
      </c>
      <c r="B21" s="11">
        <v>125080</v>
      </c>
    </row>
    <row r="22" spans="1:4" x14ac:dyDescent="0.35">
      <c r="A22" s="13" t="s">
        <v>8</v>
      </c>
      <c r="B22" s="11">
        <v>101856</v>
      </c>
      <c r="D22">
        <f>MAX(B21:B22)</f>
        <v>125080</v>
      </c>
    </row>
    <row r="23" spans="1:4" x14ac:dyDescent="0.35">
      <c r="A23" s="10" t="s">
        <v>11</v>
      </c>
      <c r="B23" s="11">
        <v>352137</v>
      </c>
    </row>
    <row r="24" spans="1:4" x14ac:dyDescent="0.35">
      <c r="A24" s="13" t="s">
        <v>13</v>
      </c>
      <c r="B24" s="11">
        <v>162284</v>
      </c>
    </row>
    <row r="25" spans="1:4" x14ac:dyDescent="0.35">
      <c r="A25" s="13" t="s">
        <v>9</v>
      </c>
      <c r="B25" s="11">
        <v>130684</v>
      </c>
    </row>
    <row r="26" spans="1:4" x14ac:dyDescent="0.35">
      <c r="A26" s="13" t="s">
        <v>10</v>
      </c>
      <c r="B26" s="11">
        <v>59169</v>
      </c>
      <c r="D26">
        <f>MAX(B24:B26)</f>
        <v>162284</v>
      </c>
    </row>
    <row r="27" spans="1:4" x14ac:dyDescent="0.35">
      <c r="A27" s="10" t="s">
        <v>34</v>
      </c>
      <c r="B27" s="11">
        <v>2011267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topLeftCell="A4" workbookViewId="0">
      <selection activeCell="G25" sqref="G25"/>
    </sheetView>
  </sheetViews>
  <sheetFormatPr defaultRowHeight="14.5" x14ac:dyDescent="0.35"/>
  <cols>
    <col min="1" max="1" width="12.36328125" bestFit="1" customWidth="1"/>
    <col min="2" max="2" width="10.81640625" bestFit="1" customWidth="1"/>
  </cols>
  <sheetData>
    <row r="3" spans="1:2" x14ac:dyDescent="0.35">
      <c r="A3" s="9" t="s">
        <v>33</v>
      </c>
      <c r="B3" t="s">
        <v>38</v>
      </c>
    </row>
    <row r="4" spans="1:2" x14ac:dyDescent="0.35">
      <c r="A4" s="10" t="s">
        <v>22</v>
      </c>
      <c r="B4" s="11">
        <v>13000</v>
      </c>
    </row>
    <row r="5" spans="1:2" x14ac:dyDescent="0.35">
      <c r="A5" s="13" t="s">
        <v>24</v>
      </c>
      <c r="B5" s="11">
        <v>5500</v>
      </c>
    </row>
    <row r="6" spans="1:2" x14ac:dyDescent="0.35">
      <c r="A6" s="13" t="s">
        <v>25</v>
      </c>
      <c r="B6" s="11">
        <v>3000</v>
      </c>
    </row>
    <row r="7" spans="1:2" x14ac:dyDescent="0.35">
      <c r="A7" s="13" t="s">
        <v>23</v>
      </c>
      <c r="B7" s="11">
        <v>4500</v>
      </c>
    </row>
    <row r="8" spans="1:2" x14ac:dyDescent="0.35">
      <c r="A8" s="10" t="s">
        <v>31</v>
      </c>
      <c r="B8" s="11">
        <v>9300</v>
      </c>
    </row>
    <row r="9" spans="1:2" x14ac:dyDescent="0.35">
      <c r="A9" s="13" t="s">
        <v>32</v>
      </c>
      <c r="B9" s="11">
        <v>9300</v>
      </c>
    </row>
    <row r="10" spans="1:2" x14ac:dyDescent="0.35">
      <c r="A10" s="10" t="s">
        <v>20</v>
      </c>
      <c r="B10" s="11">
        <v>15150</v>
      </c>
    </row>
    <row r="11" spans="1:2" x14ac:dyDescent="0.35">
      <c r="A11" s="13" t="s">
        <v>26</v>
      </c>
      <c r="B11" s="11">
        <v>6950</v>
      </c>
    </row>
    <row r="12" spans="1:2" x14ac:dyDescent="0.35">
      <c r="A12" s="13" t="s">
        <v>21</v>
      </c>
      <c r="B12" s="11">
        <v>3000</v>
      </c>
    </row>
    <row r="13" spans="1:2" x14ac:dyDescent="0.35">
      <c r="A13" s="13" t="s">
        <v>30</v>
      </c>
      <c r="B13" s="11">
        <v>2100</v>
      </c>
    </row>
    <row r="14" spans="1:2" x14ac:dyDescent="0.35">
      <c r="A14" s="13" t="s">
        <v>27</v>
      </c>
      <c r="B14" s="11">
        <v>3100</v>
      </c>
    </row>
    <row r="15" spans="1:2" x14ac:dyDescent="0.35">
      <c r="A15" s="10" t="s">
        <v>6</v>
      </c>
      <c r="B15" s="11">
        <v>12500</v>
      </c>
    </row>
    <row r="16" spans="1:2" x14ac:dyDescent="0.35">
      <c r="A16" s="13" t="s">
        <v>7</v>
      </c>
      <c r="B16" s="11">
        <v>6500</v>
      </c>
    </row>
    <row r="17" spans="1:2" x14ac:dyDescent="0.35">
      <c r="A17" s="13" t="s">
        <v>18</v>
      </c>
      <c r="B17" s="11">
        <v>1900</v>
      </c>
    </row>
    <row r="18" spans="1:2" x14ac:dyDescent="0.35">
      <c r="A18" s="13" t="s">
        <v>28</v>
      </c>
      <c r="B18" s="11">
        <v>4100</v>
      </c>
    </row>
    <row r="19" spans="1:2" x14ac:dyDescent="0.35">
      <c r="A19" s="10" t="s">
        <v>14</v>
      </c>
      <c r="B19" s="11">
        <v>8000</v>
      </c>
    </row>
    <row r="20" spans="1:2" x14ac:dyDescent="0.35">
      <c r="A20" s="13" t="s">
        <v>15</v>
      </c>
      <c r="B20" s="11">
        <v>5500</v>
      </c>
    </row>
    <row r="21" spans="1:2" x14ac:dyDescent="0.35">
      <c r="A21" s="13" t="s">
        <v>29</v>
      </c>
      <c r="B21" s="11">
        <v>2500</v>
      </c>
    </row>
    <row r="22" spans="1:2" x14ac:dyDescent="0.35">
      <c r="A22" s="10" t="s">
        <v>11</v>
      </c>
      <c r="B22" s="11">
        <v>8200</v>
      </c>
    </row>
    <row r="23" spans="1:2" x14ac:dyDescent="0.35">
      <c r="A23" s="13" t="s">
        <v>12</v>
      </c>
      <c r="B23" s="11">
        <v>1900</v>
      </c>
    </row>
    <row r="24" spans="1:2" x14ac:dyDescent="0.35">
      <c r="A24" s="13" t="s">
        <v>17</v>
      </c>
      <c r="B24" s="11">
        <v>6300</v>
      </c>
    </row>
    <row r="25" spans="1:2" x14ac:dyDescent="0.35">
      <c r="A25" s="10" t="s">
        <v>34</v>
      </c>
      <c r="B25" s="11">
        <v>66150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1"/>
  <sheetViews>
    <sheetView topLeftCell="B10" zoomScale="56" workbookViewId="0">
      <selection activeCell="C33" sqref="C33"/>
    </sheetView>
  </sheetViews>
  <sheetFormatPr defaultRowHeight="14.5" x14ac:dyDescent="0.35"/>
  <cols>
    <col min="1" max="1" width="14.1796875" bestFit="1" customWidth="1"/>
    <col min="2" max="2" width="13.90625" bestFit="1" customWidth="1"/>
  </cols>
  <sheetData>
    <row r="3" spans="1:3" x14ac:dyDescent="0.35">
      <c r="A3" s="9" t="s">
        <v>33</v>
      </c>
      <c r="B3" t="s">
        <v>39</v>
      </c>
      <c r="C3" t="s">
        <v>40</v>
      </c>
    </row>
    <row r="4" spans="1:3" x14ac:dyDescent="0.35">
      <c r="A4" s="10" t="s">
        <v>7</v>
      </c>
      <c r="B4" s="11">
        <v>260001</v>
      </c>
    </row>
    <row r="5" spans="1:3" x14ac:dyDescent="0.35">
      <c r="A5" s="13" t="s">
        <v>9</v>
      </c>
      <c r="B5" s="11">
        <v>95135</v>
      </c>
    </row>
    <row r="6" spans="1:3" x14ac:dyDescent="0.35">
      <c r="A6" s="13" t="s">
        <v>8</v>
      </c>
      <c r="B6" s="11">
        <v>63512</v>
      </c>
    </row>
    <row r="7" spans="1:3" x14ac:dyDescent="0.35">
      <c r="A7" s="13" t="s">
        <v>10</v>
      </c>
      <c r="B7" s="11">
        <v>101354</v>
      </c>
      <c r="C7">
        <f>AVERAGE(B5:B7)</f>
        <v>86667</v>
      </c>
    </row>
    <row r="8" spans="1:3" x14ac:dyDescent="0.35">
      <c r="A8" s="10" t="s">
        <v>15</v>
      </c>
      <c r="B8" s="11">
        <v>125080</v>
      </c>
    </row>
    <row r="9" spans="1:3" x14ac:dyDescent="0.35">
      <c r="A9" s="13" t="s">
        <v>16</v>
      </c>
      <c r="B9" s="11">
        <v>125080</v>
      </c>
    </row>
    <row r="10" spans="1:3" x14ac:dyDescent="0.35">
      <c r="A10" s="10" t="s">
        <v>12</v>
      </c>
      <c r="B10" s="11">
        <v>75006</v>
      </c>
      <c r="C10">
        <f>AVERAGE(GETPIVOTDATA("Mileage",$A$3,"Model","Altima","Color","Green"))</f>
        <v>125080</v>
      </c>
    </row>
    <row r="11" spans="1:3" x14ac:dyDescent="0.35">
      <c r="A11" s="13" t="s">
        <v>13</v>
      </c>
      <c r="B11" s="11">
        <v>75006</v>
      </c>
    </row>
    <row r="12" spans="1:3" x14ac:dyDescent="0.35">
      <c r="A12" s="10" t="s">
        <v>32</v>
      </c>
      <c r="B12" s="11">
        <v>229801</v>
      </c>
    </row>
    <row r="13" spans="1:3" x14ac:dyDescent="0.35">
      <c r="A13" s="13" t="s">
        <v>13</v>
      </c>
      <c r="B13" s="11">
        <v>136775</v>
      </c>
    </row>
    <row r="14" spans="1:3" x14ac:dyDescent="0.35">
      <c r="A14" s="13" t="s">
        <v>10</v>
      </c>
      <c r="B14" s="11">
        <v>93026</v>
      </c>
      <c r="C14">
        <f>AVERAGE(B13:B14)</f>
        <v>114900.5</v>
      </c>
    </row>
    <row r="15" spans="1:3" x14ac:dyDescent="0.35">
      <c r="A15" s="10" t="s">
        <v>18</v>
      </c>
      <c r="B15" s="11">
        <v>138789</v>
      </c>
    </row>
    <row r="16" spans="1:3" x14ac:dyDescent="0.35">
      <c r="A16" s="13" t="s">
        <v>19</v>
      </c>
      <c r="B16" s="11">
        <v>138789</v>
      </c>
    </row>
    <row r="17" spans="1:3" x14ac:dyDescent="0.35">
      <c r="A17" s="10" t="s">
        <v>17</v>
      </c>
      <c r="B17" s="11">
        <v>277131</v>
      </c>
    </row>
    <row r="18" spans="1:3" x14ac:dyDescent="0.35">
      <c r="A18" s="13" t="s">
        <v>13</v>
      </c>
      <c r="B18" s="11">
        <v>87278</v>
      </c>
    </row>
    <row r="19" spans="1:3" x14ac:dyDescent="0.35">
      <c r="A19" s="13" t="s">
        <v>9</v>
      </c>
      <c r="B19" s="11">
        <v>130684</v>
      </c>
    </row>
    <row r="20" spans="1:3" x14ac:dyDescent="0.35">
      <c r="A20" s="13" t="s">
        <v>10</v>
      </c>
      <c r="B20" s="11">
        <v>59169</v>
      </c>
      <c r="C20">
        <f>AVERAGE(B18:B20)</f>
        <v>92377</v>
      </c>
    </row>
    <row r="21" spans="1:3" x14ac:dyDescent="0.35">
      <c r="A21" s="10" t="s">
        <v>28</v>
      </c>
      <c r="B21" s="11">
        <v>49326</v>
      </c>
    </row>
    <row r="22" spans="1:3" x14ac:dyDescent="0.35">
      <c r="A22" s="13" t="s">
        <v>9</v>
      </c>
      <c r="B22" s="11">
        <v>49326</v>
      </c>
    </row>
    <row r="23" spans="1:3" x14ac:dyDescent="0.35">
      <c r="A23" s="10" t="s">
        <v>26</v>
      </c>
      <c r="B23" s="11">
        <v>104085</v>
      </c>
    </row>
    <row r="24" spans="1:3" x14ac:dyDescent="0.35">
      <c r="A24" s="13" t="s">
        <v>13</v>
      </c>
      <c r="B24" s="11">
        <v>63259</v>
      </c>
    </row>
    <row r="25" spans="1:3" x14ac:dyDescent="0.35">
      <c r="A25" s="13" t="s">
        <v>8</v>
      </c>
      <c r="B25" s="11">
        <v>40826</v>
      </c>
      <c r="C25">
        <f>AVERAGE(B24:B25)</f>
        <v>52042.5</v>
      </c>
    </row>
    <row r="26" spans="1:3" x14ac:dyDescent="0.35">
      <c r="A26" s="10" t="s">
        <v>21</v>
      </c>
      <c r="B26" s="11">
        <v>89073</v>
      </c>
    </row>
    <row r="27" spans="1:3" x14ac:dyDescent="0.35">
      <c r="A27" s="13" t="s">
        <v>13</v>
      </c>
      <c r="B27" s="11">
        <v>89073</v>
      </c>
    </row>
    <row r="28" spans="1:3" x14ac:dyDescent="0.35">
      <c r="A28" s="10" t="s">
        <v>30</v>
      </c>
      <c r="B28" s="11">
        <v>42542</v>
      </c>
    </row>
    <row r="29" spans="1:3" x14ac:dyDescent="0.35">
      <c r="A29" s="13" t="s">
        <v>13</v>
      </c>
      <c r="B29" s="11">
        <v>42542</v>
      </c>
    </row>
    <row r="30" spans="1:3" x14ac:dyDescent="0.35">
      <c r="A30" s="10" t="s">
        <v>24</v>
      </c>
      <c r="B30" s="11">
        <v>228486</v>
      </c>
    </row>
    <row r="31" spans="1:3" x14ac:dyDescent="0.35">
      <c r="A31" s="13" t="s">
        <v>10</v>
      </c>
      <c r="B31" s="11">
        <v>87675</v>
      </c>
    </row>
    <row r="32" spans="1:3" x14ac:dyDescent="0.35">
      <c r="A32" s="13" t="s">
        <v>19</v>
      </c>
      <c r="B32" s="11">
        <v>140811</v>
      </c>
      <c r="C32">
        <f>AVERAGE(B31:B32)</f>
        <v>114243</v>
      </c>
    </row>
    <row r="33" spans="1:2" x14ac:dyDescent="0.35">
      <c r="A33" s="10" t="s">
        <v>25</v>
      </c>
      <c r="B33" s="11">
        <v>139300</v>
      </c>
    </row>
    <row r="34" spans="1:2" x14ac:dyDescent="0.35">
      <c r="A34" s="13" t="s">
        <v>19</v>
      </c>
      <c r="B34" s="11">
        <v>139300</v>
      </c>
    </row>
    <row r="35" spans="1:2" x14ac:dyDescent="0.35">
      <c r="A35" s="10" t="s">
        <v>29</v>
      </c>
      <c r="B35" s="11">
        <v>101856</v>
      </c>
    </row>
    <row r="36" spans="1:2" x14ac:dyDescent="0.35">
      <c r="A36" s="13" t="s">
        <v>8</v>
      </c>
      <c r="B36" s="11">
        <v>101856</v>
      </c>
    </row>
    <row r="37" spans="1:2" x14ac:dyDescent="0.35">
      <c r="A37" s="10" t="s">
        <v>27</v>
      </c>
      <c r="B37" s="11">
        <v>41560</v>
      </c>
    </row>
    <row r="38" spans="1:2" x14ac:dyDescent="0.35">
      <c r="A38" s="13" t="s">
        <v>10</v>
      </c>
      <c r="B38" s="11">
        <v>41560</v>
      </c>
    </row>
    <row r="39" spans="1:2" x14ac:dyDescent="0.35">
      <c r="A39" s="10" t="s">
        <v>23</v>
      </c>
      <c r="B39" s="11">
        <v>109231</v>
      </c>
    </row>
    <row r="40" spans="1:2" x14ac:dyDescent="0.35">
      <c r="A40" s="13" t="s">
        <v>16</v>
      </c>
      <c r="B40" s="11">
        <v>109231</v>
      </c>
    </row>
    <row r="41" spans="1:2" x14ac:dyDescent="0.35">
      <c r="A41" s="10" t="s">
        <v>34</v>
      </c>
      <c r="B41" s="11">
        <v>2011267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topLeftCell="A10" workbookViewId="0">
      <selection activeCell="B27" sqref="B27"/>
    </sheetView>
  </sheetViews>
  <sheetFormatPr defaultRowHeight="14.5" x14ac:dyDescent="0.35"/>
  <cols>
    <col min="1" max="1" width="12.6328125" customWidth="1"/>
  </cols>
  <sheetData>
    <row r="3" spans="1:2" x14ac:dyDescent="0.35">
      <c r="A3" s="9" t="s">
        <v>33</v>
      </c>
      <c r="B3" s="15" t="s">
        <v>41</v>
      </c>
    </row>
    <row r="4" spans="1:2" x14ac:dyDescent="0.35">
      <c r="A4" s="10" t="s">
        <v>13</v>
      </c>
    </row>
    <row r="5" spans="1:2" x14ac:dyDescent="0.35">
      <c r="A5" s="13" t="s">
        <v>31</v>
      </c>
    </row>
    <row r="6" spans="1:2" x14ac:dyDescent="0.35">
      <c r="A6" s="13" t="s">
        <v>20</v>
      </c>
    </row>
    <row r="7" spans="1:2" x14ac:dyDescent="0.35">
      <c r="A7" s="13" t="s">
        <v>11</v>
      </c>
      <c r="B7">
        <f>COUNTA(A5:A7)</f>
        <v>3</v>
      </c>
    </row>
    <row r="8" spans="1:2" x14ac:dyDescent="0.35">
      <c r="A8" s="10" t="s">
        <v>9</v>
      </c>
    </row>
    <row r="9" spans="1:2" x14ac:dyDescent="0.35">
      <c r="A9" s="13" t="s">
        <v>6</v>
      </c>
    </row>
    <row r="10" spans="1:2" x14ac:dyDescent="0.35">
      <c r="A10" s="13" t="s">
        <v>11</v>
      </c>
      <c r="B10">
        <f>COUNTA(A9:A10)</f>
        <v>2</v>
      </c>
    </row>
    <row r="11" spans="1:2" x14ac:dyDescent="0.35">
      <c r="A11" s="10" t="s">
        <v>16</v>
      </c>
    </row>
    <row r="12" spans="1:2" x14ac:dyDescent="0.35">
      <c r="A12" s="13" t="s">
        <v>22</v>
      </c>
    </row>
    <row r="13" spans="1:2" x14ac:dyDescent="0.35">
      <c r="A13" s="13" t="s">
        <v>14</v>
      </c>
      <c r="B13">
        <f>COUNTA(A12:A13)</f>
        <v>2</v>
      </c>
    </row>
    <row r="14" spans="1:2" x14ac:dyDescent="0.35">
      <c r="A14" s="10" t="s">
        <v>8</v>
      </c>
    </row>
    <row r="15" spans="1:2" x14ac:dyDescent="0.35">
      <c r="A15" s="13" t="s">
        <v>20</v>
      </c>
    </row>
    <row r="16" spans="1:2" x14ac:dyDescent="0.35">
      <c r="A16" s="13" t="s">
        <v>6</v>
      </c>
    </row>
    <row r="17" spans="1:2" x14ac:dyDescent="0.35">
      <c r="A17" s="13" t="s">
        <v>14</v>
      </c>
      <c r="B17">
        <f>COUNTA(A15:A17)</f>
        <v>3</v>
      </c>
    </row>
    <row r="18" spans="1:2" x14ac:dyDescent="0.35">
      <c r="A18" s="10" t="s">
        <v>10</v>
      </c>
    </row>
    <row r="19" spans="1:2" x14ac:dyDescent="0.35">
      <c r="A19" s="13" t="s">
        <v>22</v>
      </c>
    </row>
    <row r="20" spans="1:2" x14ac:dyDescent="0.35">
      <c r="A20" s="13" t="s">
        <v>31</v>
      </c>
    </row>
    <row r="21" spans="1:2" x14ac:dyDescent="0.35">
      <c r="A21" s="13" t="s">
        <v>20</v>
      </c>
    </row>
    <row r="22" spans="1:2" x14ac:dyDescent="0.35">
      <c r="A22" s="13" t="s">
        <v>6</v>
      </c>
    </row>
    <row r="23" spans="1:2" x14ac:dyDescent="0.35">
      <c r="A23" s="13" t="s">
        <v>11</v>
      </c>
      <c r="B23">
        <f>COUNTA(A19:A23)</f>
        <v>5</v>
      </c>
    </row>
    <row r="24" spans="1:2" x14ac:dyDescent="0.35">
      <c r="A24" s="10" t="s">
        <v>19</v>
      </c>
    </row>
    <row r="25" spans="1:2" x14ac:dyDescent="0.35">
      <c r="A25" s="13" t="s">
        <v>22</v>
      </c>
    </row>
    <row r="26" spans="1:2" x14ac:dyDescent="0.35">
      <c r="A26" s="13" t="s">
        <v>6</v>
      </c>
      <c r="B26">
        <f>COUNTA(A25:A26)</f>
        <v>2</v>
      </c>
    </row>
    <row r="27" spans="1:2" x14ac:dyDescent="0.35">
      <c r="A27" s="10" t="s">
        <v>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5"/>
  <sheetViews>
    <sheetView topLeftCell="A2" workbookViewId="0">
      <selection activeCell="D5" sqref="D5"/>
    </sheetView>
  </sheetViews>
  <sheetFormatPr defaultRowHeight="14.5" x14ac:dyDescent="0.35"/>
  <cols>
    <col min="1" max="1" width="12.36328125" bestFit="1" customWidth="1"/>
    <col min="2" max="2" width="11.1796875" bestFit="1" customWidth="1"/>
  </cols>
  <sheetData>
    <row r="3" spans="1:4" x14ac:dyDescent="0.35">
      <c r="A3" s="9" t="s">
        <v>33</v>
      </c>
      <c r="B3" t="s">
        <v>35</v>
      </c>
      <c r="C3" s="15" t="s">
        <v>45</v>
      </c>
      <c r="D3" s="15" t="s">
        <v>42</v>
      </c>
    </row>
    <row r="4" spans="1:4" x14ac:dyDescent="0.35">
      <c r="A4" s="10" t="s">
        <v>22</v>
      </c>
      <c r="B4" s="11">
        <v>14451</v>
      </c>
    </row>
    <row r="5" spans="1:4" x14ac:dyDescent="0.35">
      <c r="A5" s="13" t="s">
        <v>24</v>
      </c>
      <c r="B5" s="11">
        <v>6131</v>
      </c>
      <c r="C5">
        <f>MIN(B5:B7)</f>
        <v>3361</v>
      </c>
      <c r="D5">
        <f>MAX(B5:B7)</f>
        <v>6131</v>
      </c>
    </row>
    <row r="6" spans="1:4" x14ac:dyDescent="0.35">
      <c r="A6" s="13" t="s">
        <v>25</v>
      </c>
      <c r="B6" s="11">
        <v>3361</v>
      </c>
    </row>
    <row r="7" spans="1:4" x14ac:dyDescent="0.35">
      <c r="A7" s="13" t="s">
        <v>23</v>
      </c>
      <c r="B7" s="11">
        <v>4959</v>
      </c>
    </row>
    <row r="8" spans="1:4" x14ac:dyDescent="0.35">
      <c r="A8" s="10" t="s">
        <v>31</v>
      </c>
      <c r="B8" s="11">
        <v>10691</v>
      </c>
    </row>
    <row r="9" spans="1:4" x14ac:dyDescent="0.35">
      <c r="A9" s="13" t="s">
        <v>32</v>
      </c>
      <c r="B9" s="11">
        <v>10691</v>
      </c>
      <c r="C9">
        <f>MIN(GETPIVOTDATA("Price",$A$3,"Make","Dodge","Model","Charger"))</f>
        <v>10691</v>
      </c>
      <c r="D9">
        <f>MAX(GETPIVOTDATA("Price",$A$3,"Make","Dodge","Model","Charger"))</f>
        <v>10691</v>
      </c>
    </row>
    <row r="10" spans="1:4" x14ac:dyDescent="0.35">
      <c r="A10" s="10" t="s">
        <v>20</v>
      </c>
      <c r="B10" s="11">
        <v>17908</v>
      </c>
    </row>
    <row r="11" spans="1:4" x14ac:dyDescent="0.35">
      <c r="A11" s="13" t="s">
        <v>26</v>
      </c>
      <c r="B11" s="11">
        <v>7593</v>
      </c>
    </row>
    <row r="12" spans="1:4" x14ac:dyDescent="0.35">
      <c r="A12" s="13" t="s">
        <v>21</v>
      </c>
      <c r="B12" s="11">
        <v>3950</v>
      </c>
    </row>
    <row r="13" spans="1:4" x14ac:dyDescent="0.35">
      <c r="A13" s="13" t="s">
        <v>30</v>
      </c>
      <c r="B13" s="11">
        <v>2659</v>
      </c>
    </row>
    <row r="14" spans="1:4" x14ac:dyDescent="0.35">
      <c r="A14" s="13" t="s">
        <v>27</v>
      </c>
      <c r="B14" s="11">
        <v>3706</v>
      </c>
      <c r="C14">
        <f>MIN(B11:B14)</f>
        <v>2659</v>
      </c>
      <c r="D14">
        <f>MAX(B11:B14)</f>
        <v>7593</v>
      </c>
    </row>
    <row r="15" spans="1:4" x14ac:dyDescent="0.35">
      <c r="A15" s="10" t="s">
        <v>6</v>
      </c>
      <c r="B15" s="11">
        <v>15968</v>
      </c>
    </row>
    <row r="16" spans="1:4" x14ac:dyDescent="0.35">
      <c r="A16" s="13" t="s">
        <v>7</v>
      </c>
      <c r="B16" s="11">
        <v>8500</v>
      </c>
    </row>
    <row r="17" spans="1:4" x14ac:dyDescent="0.35">
      <c r="A17" s="13" t="s">
        <v>18</v>
      </c>
      <c r="B17" s="11">
        <v>2723</v>
      </c>
    </row>
    <row r="18" spans="1:4" x14ac:dyDescent="0.35">
      <c r="A18" s="13" t="s">
        <v>28</v>
      </c>
      <c r="B18" s="11">
        <v>4745</v>
      </c>
      <c r="C18">
        <f>MIN(B16:B18)</f>
        <v>2723</v>
      </c>
      <c r="D18">
        <f>MAX(B16:B18)</f>
        <v>8500</v>
      </c>
    </row>
    <row r="19" spans="1:4" x14ac:dyDescent="0.35">
      <c r="A19" s="10" t="s">
        <v>14</v>
      </c>
      <c r="B19" s="11">
        <v>9710</v>
      </c>
    </row>
    <row r="20" spans="1:4" x14ac:dyDescent="0.35">
      <c r="A20" s="13" t="s">
        <v>15</v>
      </c>
      <c r="B20" s="11">
        <v>6796</v>
      </c>
    </row>
    <row r="21" spans="1:4" x14ac:dyDescent="0.35">
      <c r="A21" s="13" t="s">
        <v>29</v>
      </c>
      <c r="B21" s="11">
        <v>2914</v>
      </c>
      <c r="C21">
        <f>MIN(B20:B21)</f>
        <v>2914</v>
      </c>
      <c r="D21">
        <f>MAX(B20:B21)</f>
        <v>6796</v>
      </c>
    </row>
    <row r="22" spans="1:4" x14ac:dyDescent="0.35">
      <c r="A22" s="10" t="s">
        <v>11</v>
      </c>
      <c r="B22" s="11">
        <v>9380</v>
      </c>
    </row>
    <row r="23" spans="1:4" x14ac:dyDescent="0.35">
      <c r="A23" s="13" t="s">
        <v>12</v>
      </c>
      <c r="B23" s="11">
        <v>2198</v>
      </c>
    </row>
    <row r="24" spans="1:4" x14ac:dyDescent="0.35">
      <c r="A24" s="13" t="s">
        <v>17</v>
      </c>
      <c r="B24" s="11">
        <v>7182</v>
      </c>
      <c r="C24">
        <f>MIN(B23:B24)</f>
        <v>2198</v>
      </c>
      <c r="D24">
        <f>MAX(B23:B24)</f>
        <v>7182</v>
      </c>
    </row>
    <row r="25" spans="1:4" x14ac:dyDescent="0.35">
      <c r="A25" s="10" t="s">
        <v>34</v>
      </c>
      <c r="B25" s="11">
        <v>78108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A3" sqref="A3"/>
    </sheetView>
  </sheetViews>
  <sheetFormatPr defaultRowHeight="14.5" x14ac:dyDescent="0.35"/>
  <cols>
    <col min="1" max="1" width="12.36328125" bestFit="1" customWidth="1"/>
    <col min="2" max="2" width="13.7265625" bestFit="1" customWidth="1"/>
  </cols>
  <sheetData>
    <row r="3" spans="1:2" x14ac:dyDescent="0.35">
      <c r="A3" s="9" t="s">
        <v>33</v>
      </c>
      <c r="B3" t="s">
        <v>39</v>
      </c>
    </row>
    <row r="4" spans="1:2" x14ac:dyDescent="0.35">
      <c r="A4" s="10" t="s">
        <v>22</v>
      </c>
      <c r="B4" s="11">
        <v>477017</v>
      </c>
    </row>
    <row r="5" spans="1:2" x14ac:dyDescent="0.35">
      <c r="A5" s="13" t="s">
        <v>16</v>
      </c>
      <c r="B5" s="11">
        <v>109231</v>
      </c>
    </row>
    <row r="6" spans="1:2" x14ac:dyDescent="0.35">
      <c r="A6" s="13" t="s">
        <v>10</v>
      </c>
      <c r="B6" s="11">
        <v>87675</v>
      </c>
    </row>
    <row r="7" spans="1:2" x14ac:dyDescent="0.35">
      <c r="A7" s="13" t="s">
        <v>19</v>
      </c>
      <c r="B7" s="11">
        <v>280111</v>
      </c>
    </row>
    <row r="8" spans="1:2" x14ac:dyDescent="0.35">
      <c r="A8" s="10" t="s">
        <v>31</v>
      </c>
      <c r="B8" s="11">
        <v>229801</v>
      </c>
    </row>
    <row r="9" spans="1:2" x14ac:dyDescent="0.35">
      <c r="A9" s="13" t="s">
        <v>13</v>
      </c>
      <c r="B9" s="11">
        <v>136775</v>
      </c>
    </row>
    <row r="10" spans="1:2" x14ac:dyDescent="0.35">
      <c r="A10" s="13" t="s">
        <v>10</v>
      </c>
      <c r="B10" s="11">
        <v>93026</v>
      </c>
    </row>
    <row r="11" spans="1:2" x14ac:dyDescent="0.35">
      <c r="A11" s="10" t="s">
        <v>20</v>
      </c>
      <c r="B11" s="11">
        <v>277260</v>
      </c>
    </row>
    <row r="12" spans="1:2" x14ac:dyDescent="0.35">
      <c r="A12" s="13" t="s">
        <v>13</v>
      </c>
      <c r="B12" s="11">
        <v>194874</v>
      </c>
    </row>
    <row r="13" spans="1:2" x14ac:dyDescent="0.35">
      <c r="A13" s="13" t="s">
        <v>8</v>
      </c>
      <c r="B13" s="11">
        <v>40826</v>
      </c>
    </row>
    <row r="14" spans="1:2" x14ac:dyDescent="0.35">
      <c r="A14" s="13" t="s">
        <v>10</v>
      </c>
      <c r="B14" s="11">
        <v>41560</v>
      </c>
    </row>
    <row r="15" spans="1:2" x14ac:dyDescent="0.35">
      <c r="A15" s="10" t="s">
        <v>6</v>
      </c>
      <c r="B15" s="11">
        <v>448116</v>
      </c>
    </row>
    <row r="16" spans="1:2" x14ac:dyDescent="0.35">
      <c r="A16" s="13" t="s">
        <v>9</v>
      </c>
      <c r="B16" s="11">
        <v>144461</v>
      </c>
    </row>
    <row r="17" spans="1:2" x14ac:dyDescent="0.35">
      <c r="A17" s="13" t="s">
        <v>8</v>
      </c>
      <c r="B17" s="11">
        <v>63512</v>
      </c>
    </row>
    <row r="18" spans="1:2" x14ac:dyDescent="0.35">
      <c r="A18" s="13" t="s">
        <v>10</v>
      </c>
      <c r="B18" s="11">
        <v>101354</v>
      </c>
    </row>
    <row r="19" spans="1:2" x14ac:dyDescent="0.35">
      <c r="A19" s="13" t="s">
        <v>19</v>
      </c>
      <c r="B19" s="11">
        <v>138789</v>
      </c>
    </row>
    <row r="20" spans="1:2" x14ac:dyDescent="0.35">
      <c r="A20" s="10" t="s">
        <v>14</v>
      </c>
      <c r="B20" s="11">
        <v>226936</v>
      </c>
    </row>
    <row r="21" spans="1:2" x14ac:dyDescent="0.35">
      <c r="A21" s="13" t="s">
        <v>16</v>
      </c>
      <c r="B21" s="11">
        <v>125080</v>
      </c>
    </row>
    <row r="22" spans="1:2" x14ac:dyDescent="0.35">
      <c r="A22" s="13" t="s">
        <v>8</v>
      </c>
      <c r="B22" s="11">
        <v>101856</v>
      </c>
    </row>
    <row r="23" spans="1:2" x14ac:dyDescent="0.35">
      <c r="A23" s="10" t="s">
        <v>11</v>
      </c>
      <c r="B23" s="11">
        <v>352137</v>
      </c>
    </row>
    <row r="24" spans="1:2" x14ac:dyDescent="0.35">
      <c r="A24" s="13" t="s">
        <v>13</v>
      </c>
      <c r="B24" s="11">
        <v>162284</v>
      </c>
    </row>
    <row r="25" spans="1:2" x14ac:dyDescent="0.35">
      <c r="A25" s="13" t="s">
        <v>9</v>
      </c>
      <c r="B25" s="11">
        <v>130684</v>
      </c>
    </row>
    <row r="26" spans="1:2" x14ac:dyDescent="0.35">
      <c r="A26" s="13" t="s">
        <v>10</v>
      </c>
      <c r="B26" s="11">
        <v>59169</v>
      </c>
    </row>
    <row r="27" spans="1:2" x14ac:dyDescent="0.35">
      <c r="A27" s="10" t="s">
        <v>34</v>
      </c>
      <c r="B27" s="11">
        <v>2011267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6" sqref="B6"/>
    </sheetView>
  </sheetViews>
  <sheetFormatPr defaultRowHeight="14.5" x14ac:dyDescent="0.35"/>
  <cols>
    <col min="1" max="1" width="10.7265625" bestFit="1" customWidth="1"/>
    <col min="2" max="2" width="11.1796875" bestFit="1" customWidth="1"/>
  </cols>
  <sheetData>
    <row r="3" spans="1:2" x14ac:dyDescent="0.35">
      <c r="A3" s="9" t="s">
        <v>43</v>
      </c>
      <c r="B3" t="s">
        <v>35</v>
      </c>
    </row>
    <row r="4" spans="1:2" x14ac:dyDescent="0.35">
      <c r="A4" s="10" t="s">
        <v>13</v>
      </c>
      <c r="B4" s="11">
        <v>16317</v>
      </c>
    </row>
    <row r="5" spans="1:2" x14ac:dyDescent="0.35">
      <c r="A5" s="10" t="s">
        <v>9</v>
      </c>
      <c r="B5" s="11">
        <v>10043</v>
      </c>
    </row>
    <row r="6" spans="1:2" x14ac:dyDescent="0.35">
      <c r="A6" s="10" t="s">
        <v>16</v>
      </c>
      <c r="B6" s="11">
        <v>11755</v>
      </c>
    </row>
    <row r="7" spans="1:2" x14ac:dyDescent="0.35">
      <c r="A7" s="10" t="s">
        <v>8</v>
      </c>
      <c r="B7" s="11">
        <v>11311</v>
      </c>
    </row>
    <row r="8" spans="1:2" x14ac:dyDescent="0.35">
      <c r="A8" s="10" t="s">
        <v>10</v>
      </c>
      <c r="B8" s="11">
        <v>20258</v>
      </c>
    </row>
    <row r="9" spans="1:2" x14ac:dyDescent="0.35">
      <c r="A9" s="10" t="s">
        <v>19</v>
      </c>
      <c r="B9" s="11">
        <v>8424</v>
      </c>
    </row>
    <row r="10" spans="1:2" x14ac:dyDescent="0.35">
      <c r="A10" s="10" t="s">
        <v>34</v>
      </c>
      <c r="B10" s="11">
        <v>78108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6" sqref="A4:A9"/>
      <pivotSelection pane="bottomRight" showHeader="1" activeRow="5" click="1" r:id="rId1">
        <pivotArea dataOnly="0" labelOnly="1" fieldPosition="0">
          <references count="1">
            <reference field="0" count="0"/>
          </references>
        </pivotArea>
      </pivotSelection>
    </sheetView>
  </sheetViews>
  <sheetFormatPr defaultRowHeight="14.5" x14ac:dyDescent="0.35"/>
  <cols>
    <col min="1" max="1" width="12.36328125" customWidth="1"/>
    <col min="2" max="2" width="16.453125" customWidth="1"/>
    <col min="3" max="15" width="15.26953125" customWidth="1"/>
    <col min="16" max="16" width="10.7265625" customWidth="1"/>
    <col min="17" max="17" width="10.7265625" bestFit="1" customWidth="1"/>
  </cols>
  <sheetData>
    <row r="1" spans="1:2" x14ac:dyDescent="0.35">
      <c r="A1" s="9" t="s">
        <v>1</v>
      </c>
      <c r="B1" t="s">
        <v>37</v>
      </c>
    </row>
    <row r="3" spans="1:2" x14ac:dyDescent="0.35">
      <c r="A3" s="9" t="s">
        <v>33</v>
      </c>
      <c r="B3" t="s">
        <v>38</v>
      </c>
    </row>
    <row r="4" spans="1:2" x14ac:dyDescent="0.35">
      <c r="A4" s="10" t="s">
        <v>22</v>
      </c>
      <c r="B4" s="11">
        <v>13000</v>
      </c>
    </row>
    <row r="5" spans="1:2" x14ac:dyDescent="0.35">
      <c r="A5" s="10" t="s">
        <v>31</v>
      </c>
      <c r="B5" s="11">
        <v>7500</v>
      </c>
    </row>
    <row r="6" spans="1:2" x14ac:dyDescent="0.35">
      <c r="A6" s="10" t="s">
        <v>20</v>
      </c>
      <c r="B6" s="11">
        <v>15150</v>
      </c>
    </row>
    <row r="7" spans="1:2" x14ac:dyDescent="0.35">
      <c r="A7" s="10" t="s">
        <v>6</v>
      </c>
      <c r="B7" s="11">
        <v>11000</v>
      </c>
    </row>
    <row r="8" spans="1:2" x14ac:dyDescent="0.35">
      <c r="A8" s="10" t="s">
        <v>14</v>
      </c>
      <c r="B8" s="11">
        <v>8000</v>
      </c>
    </row>
    <row r="9" spans="1:2" x14ac:dyDescent="0.35">
      <c r="A9" s="10" t="s">
        <v>11</v>
      </c>
      <c r="B9" s="11">
        <v>4300</v>
      </c>
    </row>
    <row r="10" spans="1:2" x14ac:dyDescent="0.35">
      <c r="A10" s="10" t="s">
        <v>34</v>
      </c>
      <c r="B10" s="11">
        <v>58950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12" zoomScale="45" workbookViewId="0">
      <selection activeCell="AE35" sqref="AE35"/>
    </sheetView>
  </sheetViews>
  <sheetFormatPr defaultRowHeight="14.5" x14ac:dyDescent="0.35"/>
  <cols>
    <col min="2" max="2" width="8.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C4" sqref="C4:C10"/>
    </sheetView>
  </sheetViews>
  <sheetFormatPr defaultRowHeight="14.5" x14ac:dyDescent="0.35"/>
  <cols>
    <col min="1" max="1" width="12.36328125" bestFit="1" customWidth="1"/>
    <col min="2" max="2" width="12.1796875" bestFit="1" customWidth="1"/>
    <col min="3" max="3" width="11.1796875" bestFit="1" customWidth="1"/>
  </cols>
  <sheetData>
    <row r="3" spans="1:3" x14ac:dyDescent="0.35">
      <c r="A3" s="9" t="s">
        <v>33</v>
      </c>
      <c r="B3" t="s">
        <v>46</v>
      </c>
      <c r="C3" t="s">
        <v>35</v>
      </c>
    </row>
    <row r="4" spans="1:3" x14ac:dyDescent="0.35">
      <c r="A4" s="10" t="s">
        <v>22</v>
      </c>
      <c r="B4" s="11">
        <v>14451</v>
      </c>
      <c r="C4" s="17">
        <v>0.18501305884160393</v>
      </c>
    </row>
    <row r="5" spans="1:3" x14ac:dyDescent="0.35">
      <c r="A5" s="10" t="s">
        <v>31</v>
      </c>
      <c r="B5" s="11">
        <v>10691</v>
      </c>
      <c r="C5" s="17">
        <v>0.1368745839094587</v>
      </c>
    </row>
    <row r="6" spans="1:3" x14ac:dyDescent="0.35">
      <c r="A6" s="10" t="s">
        <v>20</v>
      </c>
      <c r="B6" s="11">
        <v>17908</v>
      </c>
      <c r="C6" s="17">
        <v>0.22927228965022789</v>
      </c>
    </row>
    <row r="7" spans="1:3" x14ac:dyDescent="0.35">
      <c r="A7" s="10" t="s">
        <v>6</v>
      </c>
      <c r="B7" s="11">
        <v>15968</v>
      </c>
      <c r="C7" s="17">
        <v>0.20443488503098275</v>
      </c>
    </row>
    <row r="8" spans="1:3" x14ac:dyDescent="0.35">
      <c r="A8" s="10" t="s">
        <v>14</v>
      </c>
      <c r="B8" s="11">
        <v>9710</v>
      </c>
      <c r="C8" s="17">
        <v>0.12431505095508782</v>
      </c>
    </row>
    <row r="9" spans="1:3" x14ac:dyDescent="0.35">
      <c r="A9" s="10" t="s">
        <v>11</v>
      </c>
      <c r="B9" s="11">
        <v>9380</v>
      </c>
      <c r="C9" s="17">
        <v>0.12009013161263891</v>
      </c>
    </row>
    <row r="10" spans="1:3" x14ac:dyDescent="0.35">
      <c r="A10" s="10" t="s">
        <v>34</v>
      </c>
      <c r="B10" s="11">
        <v>78108</v>
      </c>
      <c r="C10" s="17">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B19" sqref="AB19"/>
    </sheetView>
  </sheetViews>
  <sheetFormatPr defaultRowHeight="14.5" x14ac:dyDescent="0.35"/>
  <cols>
    <col min="1" max="1" width="10.7265625" customWidth="1"/>
    <col min="2" max="2" width="13.7265625" bestFit="1" customWidth="1"/>
  </cols>
  <sheetData>
    <row r="3" spans="1:2" x14ac:dyDescent="0.35">
      <c r="A3" s="9" t="s">
        <v>3</v>
      </c>
      <c r="B3" t="s">
        <v>39</v>
      </c>
    </row>
    <row r="4" spans="1:2" x14ac:dyDescent="0.35">
      <c r="A4" s="10" t="s">
        <v>22</v>
      </c>
      <c r="B4" s="12">
        <v>477017</v>
      </c>
    </row>
    <row r="5" spans="1:2" x14ac:dyDescent="0.35">
      <c r="A5" s="10" t="s">
        <v>6</v>
      </c>
      <c r="B5" s="12">
        <v>448116</v>
      </c>
    </row>
    <row r="6" spans="1:2" x14ac:dyDescent="0.35">
      <c r="A6" s="10" t="s">
        <v>11</v>
      </c>
      <c r="B6" s="12">
        <v>352137</v>
      </c>
    </row>
    <row r="7" spans="1:2" x14ac:dyDescent="0.35">
      <c r="A7" s="10" t="s">
        <v>20</v>
      </c>
      <c r="B7" s="12">
        <v>277260</v>
      </c>
    </row>
    <row r="8" spans="1:2" x14ac:dyDescent="0.35">
      <c r="A8" s="10" t="s">
        <v>31</v>
      </c>
      <c r="B8" s="12">
        <v>229801</v>
      </c>
    </row>
    <row r="9" spans="1:2" x14ac:dyDescent="0.35">
      <c r="A9" s="10" t="s">
        <v>14</v>
      </c>
      <c r="B9" s="12">
        <v>226936</v>
      </c>
    </row>
    <row r="10" spans="1:2" x14ac:dyDescent="0.35">
      <c r="A10" s="10" t="s">
        <v>34</v>
      </c>
      <c r="B10" s="12">
        <v>2011267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7"/>
  <sheetViews>
    <sheetView zoomScale="77" workbookViewId="0">
      <selection activeCell="C9" sqref="C9"/>
    </sheetView>
  </sheetViews>
  <sheetFormatPr defaultRowHeight="14.5" x14ac:dyDescent="0.35"/>
  <cols>
    <col min="1" max="1" width="13.453125" bestFit="1" customWidth="1"/>
    <col min="2" max="2" width="11.453125" bestFit="1" customWidth="1"/>
    <col min="3" max="3" width="9.08984375" bestFit="1" customWidth="1"/>
  </cols>
  <sheetData>
    <row r="3" spans="1:3" x14ac:dyDescent="0.35">
      <c r="A3" s="9" t="s">
        <v>33</v>
      </c>
      <c r="B3" t="s">
        <v>35</v>
      </c>
      <c r="C3" s="15" t="s">
        <v>40</v>
      </c>
    </row>
    <row r="4" spans="1:3" x14ac:dyDescent="0.35">
      <c r="A4" s="10" t="s">
        <v>22</v>
      </c>
      <c r="B4" s="11">
        <v>14451</v>
      </c>
    </row>
    <row r="5" spans="1:3" x14ac:dyDescent="0.35">
      <c r="A5" s="13" t="s">
        <v>16</v>
      </c>
      <c r="B5" s="11">
        <v>4959</v>
      </c>
    </row>
    <row r="6" spans="1:3" x14ac:dyDescent="0.35">
      <c r="A6" s="13" t="s">
        <v>10</v>
      </c>
      <c r="B6" s="11">
        <v>3791</v>
      </c>
    </row>
    <row r="7" spans="1:3" x14ac:dyDescent="0.35">
      <c r="A7" s="13" t="s">
        <v>19</v>
      </c>
      <c r="B7" s="11">
        <v>5701</v>
      </c>
      <c r="C7" s="14">
        <f>AVERAGE(B5:B7)</f>
        <v>4817</v>
      </c>
    </row>
    <row r="8" spans="1:3" x14ac:dyDescent="0.35">
      <c r="A8" s="10" t="s">
        <v>31</v>
      </c>
      <c r="B8" s="11">
        <v>10691</v>
      </c>
      <c r="C8" s="14"/>
    </row>
    <row r="9" spans="1:3" x14ac:dyDescent="0.35">
      <c r="A9" s="13" t="s">
        <v>13</v>
      </c>
      <c r="B9" s="11">
        <v>2090</v>
      </c>
      <c r="C9" s="14"/>
    </row>
    <row r="10" spans="1:3" x14ac:dyDescent="0.35">
      <c r="A10" s="13" t="s">
        <v>10</v>
      </c>
      <c r="B10" s="11">
        <v>8601</v>
      </c>
      <c r="C10" s="14">
        <f>AVERAGE(B9:B10)</f>
        <v>5345.5</v>
      </c>
    </row>
    <row r="11" spans="1:3" x14ac:dyDescent="0.35">
      <c r="A11" s="10" t="s">
        <v>20</v>
      </c>
      <c r="B11" s="11">
        <v>17908</v>
      </c>
      <c r="C11" s="14"/>
    </row>
    <row r="12" spans="1:3" x14ac:dyDescent="0.35">
      <c r="A12" s="13" t="s">
        <v>13</v>
      </c>
      <c r="B12" s="11">
        <v>9805</v>
      </c>
      <c r="C12" s="14"/>
    </row>
    <row r="13" spans="1:3" x14ac:dyDescent="0.35">
      <c r="A13" s="13" t="s">
        <v>8</v>
      </c>
      <c r="B13" s="11">
        <v>4397</v>
      </c>
      <c r="C13" s="14"/>
    </row>
    <row r="14" spans="1:3" x14ac:dyDescent="0.35">
      <c r="A14" s="13" t="s">
        <v>10</v>
      </c>
      <c r="B14" s="11">
        <v>3706</v>
      </c>
      <c r="C14" s="14">
        <f>AVERAGE(B12:B14)</f>
        <v>5969.333333333333</v>
      </c>
    </row>
    <row r="15" spans="1:3" x14ac:dyDescent="0.35">
      <c r="A15" s="10" t="s">
        <v>6</v>
      </c>
      <c r="B15" s="11">
        <v>15968</v>
      </c>
      <c r="C15" s="14"/>
    </row>
    <row r="16" spans="1:3" x14ac:dyDescent="0.35">
      <c r="A16" s="13" t="s">
        <v>9</v>
      </c>
      <c r="B16" s="11">
        <v>7245</v>
      </c>
      <c r="C16" s="14"/>
    </row>
    <row r="17" spans="1:3" x14ac:dyDescent="0.35">
      <c r="A17" s="13" t="s">
        <v>8</v>
      </c>
      <c r="B17" s="11">
        <v>4000</v>
      </c>
      <c r="C17" s="14"/>
    </row>
    <row r="18" spans="1:3" x14ac:dyDescent="0.35">
      <c r="A18" s="13" t="s">
        <v>10</v>
      </c>
      <c r="B18" s="11">
        <v>2000</v>
      </c>
      <c r="C18" s="14"/>
    </row>
    <row r="19" spans="1:3" x14ac:dyDescent="0.35">
      <c r="A19" s="13" t="s">
        <v>19</v>
      </c>
      <c r="B19" s="11">
        <v>2723</v>
      </c>
      <c r="C19" s="14">
        <f>AVERAGE(B16:B19)</f>
        <v>3992</v>
      </c>
    </row>
    <row r="20" spans="1:3" x14ac:dyDescent="0.35">
      <c r="A20" s="10" t="s">
        <v>14</v>
      </c>
      <c r="B20" s="11">
        <v>9710</v>
      </c>
      <c r="C20" s="14"/>
    </row>
    <row r="21" spans="1:3" x14ac:dyDescent="0.35">
      <c r="A21" s="13" t="s">
        <v>16</v>
      </c>
      <c r="B21" s="11">
        <v>6796</v>
      </c>
      <c r="C21" s="14"/>
    </row>
    <row r="22" spans="1:3" x14ac:dyDescent="0.35">
      <c r="A22" s="13" t="s">
        <v>8</v>
      </c>
      <c r="B22" s="11">
        <v>2914</v>
      </c>
      <c r="C22" s="14">
        <f>AVERAGE(B21:B22)</f>
        <v>4855</v>
      </c>
    </row>
    <row r="23" spans="1:3" x14ac:dyDescent="0.35">
      <c r="A23" s="10" t="s">
        <v>11</v>
      </c>
      <c r="B23" s="11">
        <v>9380</v>
      </c>
      <c r="C23" s="14"/>
    </row>
    <row r="24" spans="1:3" x14ac:dyDescent="0.35">
      <c r="A24" s="13" t="s">
        <v>13</v>
      </c>
      <c r="B24" s="11">
        <v>4422</v>
      </c>
      <c r="C24" s="14"/>
    </row>
    <row r="25" spans="1:3" x14ac:dyDescent="0.35">
      <c r="A25" s="13" t="s">
        <v>9</v>
      </c>
      <c r="B25" s="11">
        <v>2798</v>
      </c>
      <c r="C25" s="14"/>
    </row>
    <row r="26" spans="1:3" x14ac:dyDescent="0.35">
      <c r="A26" s="13" t="s">
        <v>10</v>
      </c>
      <c r="B26" s="11">
        <v>2160</v>
      </c>
      <c r="C26" s="14">
        <f>AVERAGE(B24:B26)</f>
        <v>3126.6666666666665</v>
      </c>
    </row>
    <row r="27" spans="1:3" x14ac:dyDescent="0.35">
      <c r="A27" s="10" t="s">
        <v>34</v>
      </c>
      <c r="B27" s="11">
        <v>78108</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3" sqref="A3"/>
    </sheetView>
  </sheetViews>
  <sheetFormatPr defaultRowHeight="14.5" x14ac:dyDescent="0.35"/>
  <cols>
    <col min="1" max="1" width="12.36328125" bestFit="1" customWidth="1"/>
    <col min="2" max="2" width="11.1796875" bestFit="1" customWidth="1"/>
  </cols>
  <sheetData>
    <row r="1" spans="1:2" x14ac:dyDescent="0.35">
      <c r="A1" s="9" t="s">
        <v>5</v>
      </c>
      <c r="B1" t="s">
        <v>36</v>
      </c>
    </row>
    <row r="3" spans="1:2" x14ac:dyDescent="0.35">
      <c r="A3" s="9" t="s">
        <v>33</v>
      </c>
      <c r="B3" t="s">
        <v>35</v>
      </c>
    </row>
    <row r="4" spans="1:2" x14ac:dyDescent="0.35">
      <c r="A4" s="10" t="s">
        <v>22</v>
      </c>
      <c r="B4" s="11">
        <v>14451</v>
      </c>
    </row>
    <row r="5" spans="1:2" x14ac:dyDescent="0.35">
      <c r="A5" s="10" t="s">
        <v>31</v>
      </c>
      <c r="B5" s="11">
        <v>10691</v>
      </c>
    </row>
    <row r="6" spans="1:2" x14ac:dyDescent="0.35">
      <c r="A6" s="10" t="s">
        <v>20</v>
      </c>
      <c r="B6" s="11">
        <v>17908</v>
      </c>
    </row>
    <row r="7" spans="1:2" x14ac:dyDescent="0.35">
      <c r="A7" s="10" t="s">
        <v>6</v>
      </c>
      <c r="B7" s="11">
        <v>15968</v>
      </c>
    </row>
    <row r="8" spans="1:2" x14ac:dyDescent="0.35">
      <c r="A8" s="10" t="s">
        <v>14</v>
      </c>
      <c r="B8" s="11">
        <v>9710</v>
      </c>
    </row>
    <row r="9" spans="1:2" x14ac:dyDescent="0.35">
      <c r="A9" s="10" t="s">
        <v>11</v>
      </c>
      <c r="B9" s="11">
        <v>9380</v>
      </c>
    </row>
    <row r="10" spans="1:2" x14ac:dyDescent="0.35">
      <c r="A10" s="10" t="s">
        <v>34</v>
      </c>
      <c r="B10" s="11">
        <v>78108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9"/>
  <sheetViews>
    <sheetView topLeftCell="F1" workbookViewId="0">
      <selection activeCell="K8" sqref="K8:O8"/>
    </sheetView>
  </sheetViews>
  <sheetFormatPr defaultRowHeight="14.5" x14ac:dyDescent="0.35"/>
  <cols>
    <col min="1" max="1" width="12.36328125" bestFit="1" customWidth="1"/>
    <col min="2" max="2" width="10.81640625" bestFit="1" customWidth="1"/>
    <col min="11" max="11" width="10.81640625" bestFit="1" customWidth="1"/>
    <col min="13" max="13" width="11.1796875" customWidth="1"/>
    <col min="14" max="14" width="11.1796875" bestFit="1" customWidth="1"/>
    <col min="15" max="16" width="13.7265625" bestFit="1" customWidth="1"/>
  </cols>
  <sheetData>
    <row r="3" spans="1:15" x14ac:dyDescent="0.35">
      <c r="A3" s="9" t="s">
        <v>33</v>
      </c>
      <c r="B3" t="s">
        <v>38</v>
      </c>
    </row>
    <row r="4" spans="1:15" x14ac:dyDescent="0.35">
      <c r="A4" s="10" t="s">
        <v>7</v>
      </c>
      <c r="B4" s="11">
        <v>6500</v>
      </c>
      <c r="D4" t="s">
        <v>40</v>
      </c>
      <c r="E4">
        <f>AVERAGE(B4:B18)</f>
        <v>4410</v>
      </c>
      <c r="K4" t="s">
        <v>38</v>
      </c>
      <c r="M4" t="s">
        <v>35</v>
      </c>
      <c r="O4" t="s">
        <v>39</v>
      </c>
    </row>
    <row r="5" spans="1:15" x14ac:dyDescent="0.35">
      <c r="A5" s="10" t="s">
        <v>15</v>
      </c>
      <c r="B5" s="11">
        <v>5500</v>
      </c>
      <c r="K5" s="11">
        <v>66150</v>
      </c>
      <c r="M5" s="11">
        <v>78108</v>
      </c>
      <c r="O5" s="11">
        <v>2011267</v>
      </c>
    </row>
    <row r="6" spans="1:15" x14ac:dyDescent="0.35">
      <c r="A6" s="10" t="s">
        <v>12</v>
      </c>
      <c r="B6" s="11">
        <v>1900</v>
      </c>
    </row>
    <row r="7" spans="1:15" x14ac:dyDescent="0.35">
      <c r="A7" s="10" t="s">
        <v>32</v>
      </c>
      <c r="B7" s="11">
        <v>9300</v>
      </c>
    </row>
    <row r="8" spans="1:15" x14ac:dyDescent="0.35">
      <c r="A8" s="10" t="s">
        <v>18</v>
      </c>
      <c r="B8" s="11">
        <v>1900</v>
      </c>
      <c r="K8" s="18">
        <f>GETPIVOTDATA("Cost",$K$4)</f>
        <v>66150</v>
      </c>
      <c r="L8" s="18"/>
      <c r="M8" s="18">
        <f>GETPIVOTDATA("Price",$M$4)</f>
        <v>78108</v>
      </c>
      <c r="N8" s="18"/>
      <c r="O8" s="18">
        <f>GETPIVOTDATA("Mileage",$O$4)</f>
        <v>2011267</v>
      </c>
    </row>
    <row r="9" spans="1:15" x14ac:dyDescent="0.35">
      <c r="A9" s="10" t="s">
        <v>17</v>
      </c>
      <c r="B9" s="11">
        <v>6300</v>
      </c>
    </row>
    <row r="10" spans="1:15" x14ac:dyDescent="0.35">
      <c r="A10" s="10" t="s">
        <v>28</v>
      </c>
      <c r="B10" s="11">
        <v>4100</v>
      </c>
    </row>
    <row r="11" spans="1:15" x14ac:dyDescent="0.35">
      <c r="A11" s="10" t="s">
        <v>26</v>
      </c>
      <c r="B11" s="11">
        <v>6950</v>
      </c>
    </row>
    <row r="12" spans="1:15" x14ac:dyDescent="0.35">
      <c r="A12" s="10" t="s">
        <v>21</v>
      </c>
      <c r="B12" s="11">
        <v>3000</v>
      </c>
    </row>
    <row r="13" spans="1:15" x14ac:dyDescent="0.35">
      <c r="A13" s="10" t="s">
        <v>30</v>
      </c>
      <c r="B13" s="11">
        <v>2100</v>
      </c>
    </row>
    <row r="14" spans="1:15" x14ac:dyDescent="0.35">
      <c r="A14" s="10" t="s">
        <v>24</v>
      </c>
      <c r="B14" s="11">
        <v>5500</v>
      </c>
    </row>
    <row r="15" spans="1:15" x14ac:dyDescent="0.35">
      <c r="A15" s="10" t="s">
        <v>25</v>
      </c>
      <c r="B15" s="11">
        <v>3000</v>
      </c>
    </row>
    <row r="16" spans="1:15" x14ac:dyDescent="0.35">
      <c r="A16" s="10" t="s">
        <v>29</v>
      </c>
      <c r="B16" s="11">
        <v>2500</v>
      </c>
    </row>
    <row r="17" spans="1:2" x14ac:dyDescent="0.35">
      <c r="A17" s="10" t="s">
        <v>27</v>
      </c>
      <c r="B17" s="11">
        <v>3100</v>
      </c>
    </row>
    <row r="18" spans="1:2" x14ac:dyDescent="0.35">
      <c r="A18" s="10" t="s">
        <v>23</v>
      </c>
      <c r="B18" s="11">
        <v>4500</v>
      </c>
    </row>
    <row r="19" spans="1:2" x14ac:dyDescent="0.35">
      <c r="A19" s="10" t="s">
        <v>34</v>
      </c>
      <c r="B19" s="11">
        <v>66150</v>
      </c>
    </row>
  </sheetData>
  <pageMargins left="0.7" right="0.7" top="0.75" bottom="0.75" header="0.3" footer="0.3"/>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tabSelected="1" zoomScale="107" zoomScaleNormal="175" workbookViewId="0">
      <selection sqref="A1:F25"/>
    </sheetView>
  </sheetViews>
  <sheetFormatPr defaultRowHeight="14.5" x14ac:dyDescent="0.35"/>
  <cols>
    <col min="1" max="1" width="10.81640625" bestFit="1" customWidth="1"/>
    <col min="2" max="2" width="12.7265625" bestFit="1" customWidth="1"/>
    <col min="3" max="3" width="12.453125" bestFit="1" customWidth="1"/>
    <col min="4" max="4" width="11.453125" bestFit="1" customWidth="1"/>
    <col min="6" max="6" width="9.7265625" bestFit="1" customWidth="1"/>
    <col min="7" max="7" width="9.26953125" bestFit="1" customWidth="1"/>
    <col min="8" max="8" width="12.26953125" bestFit="1" customWidth="1"/>
  </cols>
  <sheetData>
    <row r="1" spans="1:12" x14ac:dyDescent="0.35">
      <c r="A1" s="1" t="s">
        <v>3</v>
      </c>
      <c r="B1" s="1" t="s">
        <v>4</v>
      </c>
      <c r="C1" s="1" t="s">
        <v>5</v>
      </c>
      <c r="D1" s="1" t="s">
        <v>0</v>
      </c>
      <c r="E1" s="1" t="s">
        <v>1</v>
      </c>
      <c r="F1" s="1" t="s">
        <v>2</v>
      </c>
      <c r="H1" s="2"/>
    </row>
    <row r="2" spans="1:12" x14ac:dyDescent="0.35">
      <c r="A2" s="2" t="s">
        <v>6</v>
      </c>
      <c r="B2" s="2" t="s">
        <v>7</v>
      </c>
      <c r="C2" s="2" t="s">
        <v>8</v>
      </c>
      <c r="D2" s="3">
        <v>63512</v>
      </c>
      <c r="E2" s="4">
        <v>4000</v>
      </c>
      <c r="F2" s="4">
        <v>3000</v>
      </c>
      <c r="G2" s="5"/>
      <c r="H2" s="6"/>
      <c r="I2" s="5"/>
      <c r="J2" s="5"/>
      <c r="K2" s="5"/>
      <c r="L2" s="5"/>
    </row>
    <row r="3" spans="1:12" x14ac:dyDescent="0.35">
      <c r="A3" s="2" t="s">
        <v>6</v>
      </c>
      <c r="B3" s="2" t="s">
        <v>7</v>
      </c>
      <c r="C3" s="2" t="s">
        <v>9</v>
      </c>
      <c r="D3" s="3">
        <v>95135</v>
      </c>
      <c r="E3" s="4">
        <v>2500</v>
      </c>
      <c r="F3" s="4">
        <v>2000</v>
      </c>
      <c r="G3" s="5"/>
      <c r="H3" s="6"/>
      <c r="I3" s="5"/>
      <c r="J3" s="5"/>
      <c r="K3" s="5"/>
      <c r="L3" s="5"/>
    </row>
    <row r="4" spans="1:12" x14ac:dyDescent="0.35">
      <c r="A4" s="2" t="s">
        <v>6</v>
      </c>
      <c r="B4" s="2" t="s">
        <v>7</v>
      </c>
      <c r="C4" s="2" t="s">
        <v>10</v>
      </c>
      <c r="D4" s="3">
        <v>101354</v>
      </c>
      <c r="E4" s="4">
        <v>2000</v>
      </c>
      <c r="F4" s="4">
        <v>1500</v>
      </c>
      <c r="G4" s="5"/>
      <c r="H4" s="7"/>
      <c r="I4" s="8"/>
      <c r="J4" s="8"/>
      <c r="K4" s="8"/>
      <c r="L4" s="8"/>
    </row>
    <row r="5" spans="1:12" x14ac:dyDescent="0.35">
      <c r="A5" s="2" t="s">
        <v>11</v>
      </c>
      <c r="B5" s="2" t="s">
        <v>12</v>
      </c>
      <c r="C5" s="2" t="s">
        <v>13</v>
      </c>
      <c r="D5" s="3">
        <v>75006</v>
      </c>
      <c r="E5" s="4">
        <v>2198</v>
      </c>
      <c r="F5" s="4">
        <v>1900</v>
      </c>
      <c r="G5" s="5"/>
      <c r="H5" s="7"/>
      <c r="I5" s="8"/>
      <c r="J5" s="5"/>
      <c r="K5" s="5"/>
      <c r="L5" s="5"/>
    </row>
    <row r="6" spans="1:12" x14ac:dyDescent="0.35">
      <c r="A6" s="2" t="s">
        <v>14</v>
      </c>
      <c r="B6" s="2" t="s">
        <v>15</v>
      </c>
      <c r="C6" s="2" t="s">
        <v>16</v>
      </c>
      <c r="D6" s="3">
        <v>69847</v>
      </c>
      <c r="E6" s="4">
        <v>3826</v>
      </c>
      <c r="F6" s="4">
        <v>3000</v>
      </c>
      <c r="G6" s="5"/>
      <c r="H6" s="7"/>
      <c r="I6" s="8"/>
      <c r="J6" s="5"/>
      <c r="K6" s="5"/>
      <c r="L6" s="5"/>
    </row>
    <row r="7" spans="1:12" x14ac:dyDescent="0.35">
      <c r="A7" s="2" t="s">
        <v>14</v>
      </c>
      <c r="B7" s="2" t="s">
        <v>15</v>
      </c>
      <c r="C7" s="2" t="s">
        <v>16</v>
      </c>
      <c r="D7" s="3">
        <v>55233</v>
      </c>
      <c r="E7" s="4">
        <v>2970</v>
      </c>
      <c r="F7" s="4">
        <v>2500</v>
      </c>
      <c r="G7" s="5"/>
      <c r="H7" s="7"/>
      <c r="I7" s="8"/>
      <c r="J7" s="5"/>
      <c r="K7" s="5"/>
      <c r="L7" s="5"/>
    </row>
    <row r="8" spans="1:12" x14ac:dyDescent="0.35">
      <c r="A8" s="2" t="s">
        <v>11</v>
      </c>
      <c r="B8" s="2" t="s">
        <v>17</v>
      </c>
      <c r="C8" s="2" t="s">
        <v>13</v>
      </c>
      <c r="D8" s="3">
        <v>87278</v>
      </c>
      <c r="E8" s="4">
        <v>2224</v>
      </c>
      <c r="F8" s="4">
        <v>2100</v>
      </c>
      <c r="G8" s="5"/>
      <c r="H8" s="7"/>
      <c r="I8" s="8"/>
      <c r="J8" s="5"/>
      <c r="K8" s="5"/>
      <c r="L8" s="5"/>
    </row>
    <row r="9" spans="1:12" x14ac:dyDescent="0.35">
      <c r="A9" s="2" t="s">
        <v>11</v>
      </c>
      <c r="B9" s="2" t="s">
        <v>17</v>
      </c>
      <c r="C9" s="2" t="s">
        <v>9</v>
      </c>
      <c r="D9" s="3">
        <v>130684</v>
      </c>
      <c r="E9" s="4">
        <v>2798</v>
      </c>
      <c r="F9" s="4">
        <v>2200</v>
      </c>
      <c r="H9" s="2"/>
    </row>
    <row r="10" spans="1:12" x14ac:dyDescent="0.35">
      <c r="A10" s="2" t="s">
        <v>11</v>
      </c>
      <c r="B10" s="2" t="s">
        <v>17</v>
      </c>
      <c r="C10" s="2" t="s">
        <v>10</v>
      </c>
      <c r="D10" s="3">
        <v>59169</v>
      </c>
      <c r="E10" s="4">
        <v>2160</v>
      </c>
      <c r="F10" s="4">
        <v>2000</v>
      </c>
      <c r="H10" s="2"/>
    </row>
    <row r="11" spans="1:12" x14ac:dyDescent="0.35">
      <c r="A11" s="2" t="s">
        <v>6</v>
      </c>
      <c r="B11" s="2" t="s">
        <v>18</v>
      </c>
      <c r="C11" s="2" t="s">
        <v>19</v>
      </c>
      <c r="D11" s="3">
        <v>138789</v>
      </c>
      <c r="E11" s="4">
        <v>2723</v>
      </c>
      <c r="F11" s="4">
        <v>1900</v>
      </c>
      <c r="H11" s="2"/>
    </row>
    <row r="12" spans="1:12" x14ac:dyDescent="0.35">
      <c r="A12" s="2" t="s">
        <v>20</v>
      </c>
      <c r="B12" s="2" t="s">
        <v>21</v>
      </c>
      <c r="C12" s="2" t="s">
        <v>13</v>
      </c>
      <c r="D12" s="3">
        <v>89073</v>
      </c>
      <c r="E12" s="4">
        <v>3950</v>
      </c>
      <c r="F12" s="4">
        <v>3000</v>
      </c>
      <c r="H12" s="2"/>
    </row>
    <row r="13" spans="1:12" x14ac:dyDescent="0.35">
      <c r="A13" s="2" t="s">
        <v>22</v>
      </c>
      <c r="B13" s="2" t="s">
        <v>23</v>
      </c>
      <c r="C13" s="2" t="s">
        <v>16</v>
      </c>
      <c r="D13" s="3">
        <v>109231</v>
      </c>
      <c r="E13" s="4">
        <v>4959</v>
      </c>
      <c r="F13" s="4">
        <v>4500</v>
      </c>
      <c r="H13" s="2"/>
    </row>
    <row r="14" spans="1:12" x14ac:dyDescent="0.35">
      <c r="A14" s="2" t="s">
        <v>22</v>
      </c>
      <c r="B14" s="2" t="s">
        <v>24</v>
      </c>
      <c r="C14" s="2" t="s">
        <v>10</v>
      </c>
      <c r="D14" s="3">
        <v>87675</v>
      </c>
      <c r="E14" s="4">
        <v>3791</v>
      </c>
      <c r="F14" s="4">
        <v>3500</v>
      </c>
      <c r="H14" s="2"/>
    </row>
    <row r="15" spans="1:12" x14ac:dyDescent="0.35">
      <c r="A15" s="2" t="s">
        <v>22</v>
      </c>
      <c r="B15" s="2" t="s">
        <v>24</v>
      </c>
      <c r="C15" s="2" t="s">
        <v>19</v>
      </c>
      <c r="D15" s="3">
        <v>140811</v>
      </c>
      <c r="E15" s="4">
        <v>2340</v>
      </c>
      <c r="F15" s="4">
        <v>2000</v>
      </c>
      <c r="G15" s="4"/>
      <c r="H15" s="2"/>
    </row>
    <row r="16" spans="1:12" x14ac:dyDescent="0.35">
      <c r="A16" s="2" t="s">
        <v>22</v>
      </c>
      <c r="B16" s="2" t="s">
        <v>25</v>
      </c>
      <c r="C16" s="2" t="s">
        <v>19</v>
      </c>
      <c r="D16" s="3">
        <v>139300</v>
      </c>
      <c r="E16" s="4">
        <v>3361</v>
      </c>
      <c r="F16" s="4">
        <v>3000</v>
      </c>
      <c r="G16" s="4"/>
      <c r="H16" s="2"/>
    </row>
    <row r="17" spans="1:8" x14ac:dyDescent="0.35">
      <c r="A17" s="2" t="s">
        <v>20</v>
      </c>
      <c r="B17" s="2" t="s">
        <v>26</v>
      </c>
      <c r="C17" s="2" t="s">
        <v>13</v>
      </c>
      <c r="D17" s="3">
        <v>63259</v>
      </c>
      <c r="E17" s="4">
        <v>3196</v>
      </c>
      <c r="F17" s="4">
        <v>3050</v>
      </c>
      <c r="G17" s="4"/>
      <c r="H17" s="2"/>
    </row>
    <row r="18" spans="1:8" x14ac:dyDescent="0.35">
      <c r="A18" s="2" t="s">
        <v>20</v>
      </c>
      <c r="B18" s="2" t="s">
        <v>26</v>
      </c>
      <c r="C18" s="2" t="s">
        <v>8</v>
      </c>
      <c r="D18" s="3">
        <v>40826</v>
      </c>
      <c r="E18" s="4">
        <v>4397</v>
      </c>
      <c r="F18" s="4">
        <v>3900</v>
      </c>
      <c r="G18" s="4"/>
      <c r="H18" s="2"/>
    </row>
    <row r="19" spans="1:8" x14ac:dyDescent="0.35">
      <c r="A19" s="2" t="s">
        <v>20</v>
      </c>
      <c r="B19" s="2" t="s">
        <v>27</v>
      </c>
      <c r="C19" s="2" t="s">
        <v>10</v>
      </c>
      <c r="D19" s="3">
        <v>41560</v>
      </c>
      <c r="E19" s="4">
        <v>3706</v>
      </c>
      <c r="F19" s="4">
        <v>3100</v>
      </c>
      <c r="G19" s="4"/>
      <c r="H19" s="2"/>
    </row>
    <row r="20" spans="1:8" x14ac:dyDescent="0.35">
      <c r="A20" s="2" t="s">
        <v>6</v>
      </c>
      <c r="B20" s="2" t="s">
        <v>28</v>
      </c>
      <c r="C20" s="2" t="s">
        <v>9</v>
      </c>
      <c r="D20" s="3">
        <v>49326</v>
      </c>
      <c r="E20" s="4">
        <v>4745</v>
      </c>
      <c r="F20" s="4">
        <v>4100</v>
      </c>
      <c r="G20" s="4"/>
      <c r="H20" s="2"/>
    </row>
    <row r="21" spans="1:8" x14ac:dyDescent="0.35">
      <c r="A21" s="2" t="s">
        <v>14</v>
      </c>
      <c r="B21" s="2" t="s">
        <v>29</v>
      </c>
      <c r="C21" s="2" t="s">
        <v>8</v>
      </c>
      <c r="D21" s="3">
        <v>101856</v>
      </c>
      <c r="E21" s="4">
        <v>2914</v>
      </c>
      <c r="F21" s="4">
        <v>2500</v>
      </c>
      <c r="G21" s="4"/>
      <c r="H21" s="2"/>
    </row>
    <row r="22" spans="1:8" x14ac:dyDescent="0.35">
      <c r="A22" s="2" t="s">
        <v>20</v>
      </c>
      <c r="B22" s="2" t="s">
        <v>30</v>
      </c>
      <c r="C22" s="2" t="s">
        <v>13</v>
      </c>
      <c r="D22" s="3">
        <v>42542</v>
      </c>
      <c r="E22" s="4">
        <v>2659</v>
      </c>
      <c r="F22" s="4">
        <v>2100</v>
      </c>
      <c r="G22" s="4"/>
      <c r="H22" s="2"/>
    </row>
    <row r="23" spans="1:8" x14ac:dyDescent="0.35">
      <c r="A23" s="2" t="s">
        <v>31</v>
      </c>
      <c r="B23" s="2" t="s">
        <v>32</v>
      </c>
      <c r="C23" s="2" t="s">
        <v>10</v>
      </c>
      <c r="D23" s="3">
        <v>34853</v>
      </c>
      <c r="E23" s="4">
        <v>4349</v>
      </c>
      <c r="F23" s="4">
        <v>3500</v>
      </c>
      <c r="G23" s="4"/>
      <c r="H23" s="2"/>
    </row>
    <row r="24" spans="1:8" x14ac:dyDescent="0.35">
      <c r="A24" s="2" t="s">
        <v>31</v>
      </c>
      <c r="B24" s="2" t="s">
        <v>32</v>
      </c>
      <c r="C24" s="2" t="s">
        <v>10</v>
      </c>
      <c r="D24" s="3">
        <v>58173</v>
      </c>
      <c r="E24" s="4">
        <v>4252</v>
      </c>
      <c r="F24" s="4">
        <v>4000</v>
      </c>
      <c r="G24" s="4"/>
      <c r="H24" s="2"/>
    </row>
    <row r="25" spans="1:8" x14ac:dyDescent="0.35">
      <c r="A25" s="2" t="s">
        <v>31</v>
      </c>
      <c r="B25" s="2" t="s">
        <v>32</v>
      </c>
      <c r="C25" s="2" t="s">
        <v>13</v>
      </c>
      <c r="D25" s="3">
        <v>136775</v>
      </c>
      <c r="E25" s="4">
        <v>2090</v>
      </c>
      <c r="F25" s="4">
        <v>1800</v>
      </c>
      <c r="G25" s="4"/>
      <c r="H25" s="2"/>
    </row>
    <row r="26" spans="1:8" x14ac:dyDescent="0.35">
      <c r="A26" s="2"/>
      <c r="B26" s="2"/>
      <c r="C26" s="2"/>
      <c r="D26" s="2"/>
      <c r="E26" s="3"/>
      <c r="F26" s="4"/>
      <c r="G26" s="4"/>
      <c r="H26" s="2"/>
    </row>
  </sheetData>
  <phoneticPr fontId="4" type="noConversion"/>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B1" workbookViewId="0">
      <selection activeCell="K23" sqref="K23"/>
    </sheetView>
  </sheetViews>
  <sheetFormatPr defaultRowHeight="14.5" x14ac:dyDescent="0.35"/>
  <cols>
    <col min="1" max="1" width="10.7265625" customWidth="1"/>
    <col min="2" max="2" width="13.7265625" bestFit="1" customWidth="1"/>
  </cols>
  <sheetData>
    <row r="3" spans="1:2" x14ac:dyDescent="0.35">
      <c r="A3" s="9" t="s">
        <v>43</v>
      </c>
      <c r="B3" t="s">
        <v>39</v>
      </c>
    </row>
    <row r="4" spans="1:2" x14ac:dyDescent="0.35">
      <c r="A4" s="10" t="s">
        <v>13</v>
      </c>
      <c r="B4" s="11">
        <v>493933</v>
      </c>
    </row>
    <row r="5" spans="1:2" x14ac:dyDescent="0.35">
      <c r="A5" s="10" t="s">
        <v>9</v>
      </c>
      <c r="B5" s="11">
        <v>275145</v>
      </c>
    </row>
    <row r="6" spans="1:2" x14ac:dyDescent="0.35">
      <c r="A6" s="10" t="s">
        <v>16</v>
      </c>
      <c r="B6" s="11">
        <v>234311</v>
      </c>
    </row>
    <row r="7" spans="1:2" x14ac:dyDescent="0.35">
      <c r="A7" s="10" t="s">
        <v>8</v>
      </c>
      <c r="B7" s="11">
        <v>206194</v>
      </c>
    </row>
    <row r="8" spans="1:2" x14ac:dyDescent="0.35">
      <c r="A8" s="10" t="s">
        <v>10</v>
      </c>
      <c r="B8" s="11">
        <v>382784</v>
      </c>
    </row>
    <row r="9" spans="1:2" x14ac:dyDescent="0.35">
      <c r="A9" s="10" t="s">
        <v>19</v>
      </c>
      <c r="B9" s="11">
        <v>418900</v>
      </c>
    </row>
    <row r="10" spans="1:2" x14ac:dyDescent="0.35">
      <c r="A10" s="10" t="s">
        <v>34</v>
      </c>
      <c r="B10" s="11">
        <v>2011267</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zoomScale="82" workbookViewId="0">
      <selection activeCell="A56" sqref="A56"/>
    </sheetView>
  </sheetViews>
  <sheetFormatPr defaultRowHeight="14.5" x14ac:dyDescent="0.35"/>
  <cols>
    <col min="1" max="1" width="13.08984375" bestFit="1" customWidth="1"/>
    <col min="2" max="2" width="15.26953125" bestFit="1" customWidth="1"/>
    <col min="3" max="3" width="6.26953125" customWidth="1"/>
    <col min="4" max="4" width="6.1796875" customWidth="1"/>
    <col min="5" max="5" width="7.36328125" customWidth="1"/>
    <col min="6" max="6" width="4.54296875" customWidth="1"/>
    <col min="7" max="7" width="6.7265625" customWidth="1"/>
    <col min="8" max="8" width="4.1796875" customWidth="1"/>
    <col min="9" max="9" width="6.54296875" customWidth="1"/>
    <col min="10" max="10" width="5.36328125" customWidth="1"/>
    <col min="11" max="11" width="6.26953125" customWidth="1"/>
    <col min="12" max="12" width="6.54296875" customWidth="1"/>
    <col min="13" max="13" width="6.6328125" customWidth="1"/>
    <col min="14" max="14" width="7.54296875" customWidth="1"/>
    <col min="15" max="15" width="8.1796875" customWidth="1"/>
    <col min="16" max="16" width="8.453125" customWidth="1"/>
    <col min="17" max="17" width="10.7265625" bestFit="1" customWidth="1"/>
  </cols>
  <sheetData>
    <row r="3" spans="1:2" x14ac:dyDescent="0.35">
      <c r="A3" s="9" t="s">
        <v>33</v>
      </c>
      <c r="B3" t="s">
        <v>44</v>
      </c>
    </row>
    <row r="4" spans="1:2" x14ac:dyDescent="0.35">
      <c r="A4" s="10" t="s">
        <v>7</v>
      </c>
    </row>
    <row r="5" spans="1:2" x14ac:dyDescent="0.35">
      <c r="A5" s="13" t="s">
        <v>6</v>
      </c>
    </row>
    <row r="6" spans="1:2" x14ac:dyDescent="0.35">
      <c r="A6" s="16" t="s">
        <v>9</v>
      </c>
    </row>
    <row r="7" spans="1:2" x14ac:dyDescent="0.35">
      <c r="A7" s="16" t="s">
        <v>8</v>
      </c>
    </row>
    <row r="8" spans="1:2" x14ac:dyDescent="0.35">
      <c r="A8" s="16" t="s">
        <v>10</v>
      </c>
      <c r="B8">
        <f>COUNTA(A6:A8)</f>
        <v>3</v>
      </c>
    </row>
    <row r="9" spans="1:2" x14ac:dyDescent="0.35">
      <c r="A9" s="10" t="s">
        <v>15</v>
      </c>
    </row>
    <row r="10" spans="1:2" x14ac:dyDescent="0.35">
      <c r="A10" s="13" t="s">
        <v>14</v>
      </c>
    </row>
    <row r="11" spans="1:2" x14ac:dyDescent="0.35">
      <c r="A11" s="16" t="s">
        <v>16</v>
      </c>
      <c r="B11">
        <f>COUNTA(A11)</f>
        <v>1</v>
      </c>
    </row>
    <row r="12" spans="1:2" x14ac:dyDescent="0.35">
      <c r="A12" s="10" t="s">
        <v>12</v>
      </c>
    </row>
    <row r="13" spans="1:2" x14ac:dyDescent="0.35">
      <c r="A13" s="13" t="s">
        <v>11</v>
      </c>
    </row>
    <row r="14" spans="1:2" x14ac:dyDescent="0.35">
      <c r="A14" s="16" t="s">
        <v>13</v>
      </c>
      <c r="B14">
        <f>COUNTA(A14)</f>
        <v>1</v>
      </c>
    </row>
    <row r="15" spans="1:2" x14ac:dyDescent="0.35">
      <c r="A15" s="10" t="s">
        <v>32</v>
      </c>
    </row>
    <row r="16" spans="1:2" x14ac:dyDescent="0.35">
      <c r="A16" s="13" t="s">
        <v>31</v>
      </c>
    </row>
    <row r="17" spans="1:2" x14ac:dyDescent="0.35">
      <c r="A17" s="16" t="s">
        <v>13</v>
      </c>
    </row>
    <row r="18" spans="1:2" x14ac:dyDescent="0.35">
      <c r="A18" s="16" t="s">
        <v>10</v>
      </c>
      <c r="B18">
        <f>COUNTA(A17:A18)</f>
        <v>2</v>
      </c>
    </row>
    <row r="19" spans="1:2" x14ac:dyDescent="0.35">
      <c r="A19" s="10" t="s">
        <v>18</v>
      </c>
    </row>
    <row r="20" spans="1:2" x14ac:dyDescent="0.35">
      <c r="A20" s="13" t="s">
        <v>6</v>
      </c>
    </row>
    <row r="21" spans="1:2" x14ac:dyDescent="0.35">
      <c r="A21" s="16" t="s">
        <v>19</v>
      </c>
      <c r="B21">
        <f>COUNTA(A21)</f>
        <v>1</v>
      </c>
    </row>
    <row r="22" spans="1:2" x14ac:dyDescent="0.35">
      <c r="A22" s="10" t="s">
        <v>17</v>
      </c>
    </row>
    <row r="23" spans="1:2" x14ac:dyDescent="0.35">
      <c r="A23" s="13" t="s">
        <v>11</v>
      </c>
    </row>
    <row r="24" spans="1:2" x14ac:dyDescent="0.35">
      <c r="A24" s="16" t="s">
        <v>13</v>
      </c>
    </row>
    <row r="25" spans="1:2" x14ac:dyDescent="0.35">
      <c r="A25" s="16" t="s">
        <v>9</v>
      </c>
    </row>
    <row r="26" spans="1:2" x14ac:dyDescent="0.35">
      <c r="A26" s="16" t="s">
        <v>10</v>
      </c>
      <c r="B26">
        <f>COUNTA(A24:A26)</f>
        <v>3</v>
      </c>
    </row>
    <row r="27" spans="1:2" x14ac:dyDescent="0.35">
      <c r="A27" s="10" t="s">
        <v>28</v>
      </c>
    </row>
    <row r="28" spans="1:2" x14ac:dyDescent="0.35">
      <c r="A28" s="13" t="s">
        <v>6</v>
      </c>
    </row>
    <row r="29" spans="1:2" x14ac:dyDescent="0.35">
      <c r="A29" s="16" t="s">
        <v>9</v>
      </c>
      <c r="B29">
        <f>COUNTA(A29:A30)</f>
        <v>2</v>
      </c>
    </row>
    <row r="30" spans="1:2" x14ac:dyDescent="0.35">
      <c r="A30" s="10" t="s">
        <v>26</v>
      </c>
    </row>
    <row r="31" spans="1:2" x14ac:dyDescent="0.35">
      <c r="A31" s="13" t="s">
        <v>20</v>
      </c>
    </row>
    <row r="32" spans="1:2" x14ac:dyDescent="0.35">
      <c r="A32" s="16" t="s">
        <v>13</v>
      </c>
    </row>
    <row r="33" spans="1:2" x14ac:dyDescent="0.35">
      <c r="A33" s="16" t="s">
        <v>8</v>
      </c>
      <c r="B33">
        <f>COUNTA(A32:A33)</f>
        <v>2</v>
      </c>
    </row>
    <row r="34" spans="1:2" x14ac:dyDescent="0.35">
      <c r="A34" s="10" t="s">
        <v>21</v>
      </c>
    </row>
    <row r="35" spans="1:2" x14ac:dyDescent="0.35">
      <c r="A35" s="13" t="s">
        <v>20</v>
      </c>
    </row>
    <row r="36" spans="1:2" x14ac:dyDescent="0.35">
      <c r="A36" s="16" t="s">
        <v>13</v>
      </c>
      <c r="B36">
        <f>COUNTA(A36)</f>
        <v>1</v>
      </c>
    </row>
    <row r="37" spans="1:2" x14ac:dyDescent="0.35">
      <c r="A37" s="10" t="s">
        <v>30</v>
      </c>
    </row>
    <row r="38" spans="1:2" x14ac:dyDescent="0.35">
      <c r="A38" s="13" t="s">
        <v>20</v>
      </c>
    </row>
    <row r="39" spans="1:2" x14ac:dyDescent="0.35">
      <c r="A39" s="16" t="s">
        <v>13</v>
      </c>
      <c r="B39">
        <f>COUNTA(A39)</f>
        <v>1</v>
      </c>
    </row>
    <row r="40" spans="1:2" x14ac:dyDescent="0.35">
      <c r="A40" s="10" t="s">
        <v>24</v>
      </c>
    </row>
    <row r="41" spans="1:2" x14ac:dyDescent="0.35">
      <c r="A41" s="13" t="s">
        <v>22</v>
      </c>
    </row>
    <row r="42" spans="1:2" x14ac:dyDescent="0.35">
      <c r="A42" s="16" t="s">
        <v>10</v>
      </c>
    </row>
    <row r="43" spans="1:2" x14ac:dyDescent="0.35">
      <c r="A43" s="16" t="s">
        <v>19</v>
      </c>
      <c r="B43">
        <f>COUNTA(A42:A43)</f>
        <v>2</v>
      </c>
    </row>
    <row r="44" spans="1:2" x14ac:dyDescent="0.35">
      <c r="A44" s="10" t="s">
        <v>25</v>
      </c>
    </row>
    <row r="45" spans="1:2" x14ac:dyDescent="0.35">
      <c r="A45" s="13" t="s">
        <v>22</v>
      </c>
    </row>
    <row r="46" spans="1:2" x14ac:dyDescent="0.35">
      <c r="A46" s="16" t="s">
        <v>19</v>
      </c>
      <c r="B46">
        <f>COUNTA(A46)</f>
        <v>1</v>
      </c>
    </row>
    <row r="47" spans="1:2" x14ac:dyDescent="0.35">
      <c r="A47" s="10" t="s">
        <v>29</v>
      </c>
    </row>
    <row r="48" spans="1:2" x14ac:dyDescent="0.35">
      <c r="A48" s="13" t="s">
        <v>14</v>
      </c>
    </row>
    <row r="49" spans="1:2" x14ac:dyDescent="0.35">
      <c r="A49" s="16" t="s">
        <v>8</v>
      </c>
      <c r="B49">
        <f>COUNTA(A49)</f>
        <v>1</v>
      </c>
    </row>
    <row r="50" spans="1:2" x14ac:dyDescent="0.35">
      <c r="A50" s="10" t="s">
        <v>27</v>
      </c>
    </row>
    <row r="51" spans="1:2" x14ac:dyDescent="0.35">
      <c r="A51" s="13" t="s">
        <v>20</v>
      </c>
    </row>
    <row r="52" spans="1:2" x14ac:dyDescent="0.35">
      <c r="A52" s="16" t="s">
        <v>10</v>
      </c>
      <c r="B52">
        <f>COUNTA(A52)</f>
        <v>1</v>
      </c>
    </row>
    <row r="53" spans="1:2" x14ac:dyDescent="0.35">
      <c r="A53" s="10" t="s">
        <v>23</v>
      </c>
    </row>
    <row r="54" spans="1:2" x14ac:dyDescent="0.35">
      <c r="A54" s="13" t="s">
        <v>22</v>
      </c>
    </row>
    <row r="55" spans="1:2" x14ac:dyDescent="0.35">
      <c r="A55" s="16" t="s">
        <v>16</v>
      </c>
      <c r="B55">
        <f>COUNTA(A55)</f>
        <v>1</v>
      </c>
    </row>
    <row r="56" spans="1:2" x14ac:dyDescent="0.35">
      <c r="A56" s="10"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question 8</vt:lpstr>
      <vt:lpstr>Make vs Price</vt:lpstr>
      <vt:lpstr>question 7</vt:lpstr>
      <vt:lpstr>question 6</vt:lpstr>
      <vt:lpstr>question 9</vt:lpstr>
      <vt:lpstr>question 10</vt:lpstr>
      <vt:lpstr>question 11</vt:lpstr>
      <vt:lpstr>question 13</vt:lpstr>
      <vt:lpstr>colour vs price</vt:lpstr>
      <vt:lpstr>question 15</vt:lpstr>
      <vt:lpstr>dashboard</vt:lpstr>
      <vt:lpstr>question 14</vt:lpstr>
      <vt:lpstr>make vs mileage</vt:lpstr>
      <vt:lpstr>question4</vt:lpstr>
      <vt:lpstr>question 12</vt:lpstr>
      <vt:lpstr>model vs cost</vt:lpstr>
      <vt:lpstr>Sheet1</vt:lpstr>
      <vt:lpstr>Colour vs Mileage</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Cheshi</dc:creator>
  <cp:lastModifiedBy>Windows User</cp:lastModifiedBy>
  <dcterms:created xsi:type="dcterms:W3CDTF">2024-06-17T23:35:40Z</dcterms:created>
  <dcterms:modified xsi:type="dcterms:W3CDTF">2025-11-15T13:19:18Z</dcterms:modified>
</cp:coreProperties>
</file>